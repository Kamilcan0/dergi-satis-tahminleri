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Basarslan\Desktop\"/>
    </mc:Choice>
  </mc:AlternateContent>
  <xr:revisionPtr revIDLastSave="0" documentId="8_{E8E5F474-2C1D-4091-8E3A-024E063E6CC7}" xr6:coauthVersionLast="47" xr6:coauthVersionMax="47" xr10:uidLastSave="{00000000-0000-0000-0000-000000000000}"/>
  <bookViews>
    <workbookView xWindow="-108" yWindow="-108" windowWidth="23256" windowHeight="12576" activeTab="1" xr2:uid="{00000000-000D-0000-FFFF-FFFF00000000}"/>
  </bookViews>
  <sheets>
    <sheet name="Ana Sayfa" sheetId="31" r:id="rId1"/>
    <sheet name="Veri_Seti" sheetId="19" r:id="rId2"/>
    <sheet name="Ulusal_Tiraj_Trend" sheetId="34" r:id="rId3"/>
    <sheet name="Ulusal_Sektör_Trend" sheetId="33" r:id="rId4"/>
    <sheet name="Formül_Anlatım" sheetId="26" r:id="rId5"/>
  </sheets>
  <definedNames>
    <definedName name="_xlnm._FilterDatabase" localSheetId="1" hidden="1">Veri_Seti!$A$1:$E$810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7" i="19" l="1"/>
  <c r="C537" i="19"/>
  <c r="B537" i="19"/>
  <c r="J385" i="19"/>
  <c r="J384" i="19"/>
  <c r="I385" i="19"/>
  <c r="I384" i="19"/>
  <c r="H385" i="19"/>
  <c r="G385" i="19"/>
  <c r="H384" i="19"/>
  <c r="G384" i="19"/>
  <c r="G101" i="19"/>
  <c r="I101" i="19" s="1"/>
  <c r="J101" i="19" s="1"/>
  <c r="H101" i="19"/>
  <c r="H102" i="19" s="1"/>
  <c r="H360" i="19"/>
  <c r="H361" i="19" s="1"/>
  <c r="G360" i="19"/>
  <c r="G361" i="19" s="1"/>
  <c r="H350" i="19"/>
  <c r="H351" i="19" s="1"/>
  <c r="G350" i="19"/>
  <c r="G351" i="19" s="1"/>
  <c r="H331" i="19"/>
  <c r="H332" i="19" s="1"/>
  <c r="G331" i="19"/>
  <c r="G332" i="19" s="1"/>
  <c r="C295" i="19"/>
  <c r="C296" i="19" s="1"/>
  <c r="B295" i="19"/>
  <c r="B296" i="19" s="1"/>
  <c r="H276" i="19"/>
  <c r="H277" i="19" s="1"/>
  <c r="G276" i="19"/>
  <c r="G277" i="19" s="1"/>
  <c r="C256" i="19"/>
  <c r="C257" i="19" s="1"/>
  <c r="B256" i="19"/>
  <c r="B257" i="19" s="1"/>
  <c r="H140" i="19"/>
  <c r="H141" i="19" s="1"/>
  <c r="G140" i="19"/>
  <c r="G141" i="19" s="1"/>
  <c r="C123" i="19"/>
  <c r="C124" i="19" s="1"/>
  <c r="B123" i="19"/>
  <c r="B124" i="19" s="1"/>
  <c r="H404" i="19"/>
  <c r="H405" i="19" s="1"/>
  <c r="G404" i="19"/>
  <c r="G405" i="19" s="1"/>
  <c r="C404" i="19"/>
  <c r="C405" i="19" s="1"/>
  <c r="B404" i="19"/>
  <c r="B405" i="19" s="1"/>
  <c r="H784" i="19"/>
  <c r="H785" i="19" s="1"/>
  <c r="G784" i="19"/>
  <c r="G785" i="19" s="1"/>
  <c r="B735" i="19"/>
  <c r="G463" i="19"/>
  <c r="H462" i="19"/>
  <c r="H463" i="19" s="1"/>
  <c r="G462" i="19"/>
  <c r="H664" i="19"/>
  <c r="H663" i="19"/>
  <c r="G663" i="19"/>
  <c r="G664" i="19" s="1"/>
  <c r="I664" i="19" s="1"/>
  <c r="J664" i="19" s="1"/>
  <c r="B462" i="19"/>
  <c r="B463" i="19" s="1"/>
  <c r="C462" i="19"/>
  <c r="C463" i="19" s="1"/>
  <c r="H452" i="19"/>
  <c r="H453" i="19" s="1"/>
  <c r="G452" i="19"/>
  <c r="G453" i="19" s="1"/>
  <c r="B452" i="19"/>
  <c r="B453" i="19" s="1"/>
  <c r="C452" i="19"/>
  <c r="C453" i="19" s="1"/>
  <c r="C784" i="19"/>
  <c r="C785" i="19" s="1"/>
  <c r="B784" i="19"/>
  <c r="B785" i="19" s="1"/>
  <c r="H757" i="19"/>
  <c r="H758" i="19" s="1"/>
  <c r="G757" i="19"/>
  <c r="G758" i="19" s="1"/>
  <c r="C737" i="19"/>
  <c r="C738" i="19" s="1"/>
  <c r="B737" i="19"/>
  <c r="B738" i="19" s="1"/>
  <c r="G693" i="19"/>
  <c r="H682" i="19"/>
  <c r="H683" i="19" s="1"/>
  <c r="G682" i="19"/>
  <c r="G683" i="19" s="1"/>
  <c r="G692" i="19"/>
  <c r="H692" i="19"/>
  <c r="H693" i="19"/>
  <c r="C604" i="19"/>
  <c r="C605" i="19" s="1"/>
  <c r="B604" i="19"/>
  <c r="B605" i="19" s="1"/>
  <c r="C519" i="19"/>
  <c r="C520" i="19" s="1"/>
  <c r="B519" i="19"/>
  <c r="B520" i="19" s="1"/>
  <c r="C374" i="19"/>
  <c r="C375" i="19" s="1"/>
  <c r="B374" i="19"/>
  <c r="B375" i="19" s="1"/>
  <c r="E294" i="19"/>
  <c r="B527" i="19"/>
  <c r="C515" i="19"/>
  <c r="C516" i="19" s="1"/>
  <c r="C508" i="19" s="1"/>
  <c r="C143" i="19"/>
  <c r="C144" i="19" s="1"/>
  <c r="C135" i="19" s="1"/>
  <c r="B143" i="19"/>
  <c r="C109" i="19"/>
  <c r="C110" i="19" s="1"/>
  <c r="B109" i="19"/>
  <c r="B110" i="19" s="1"/>
  <c r="B86" i="19"/>
  <c r="C86" i="19"/>
  <c r="C87" i="19" s="1"/>
  <c r="C78" i="19" s="1"/>
  <c r="B66" i="19"/>
  <c r="B67" i="19" s="1"/>
  <c r="B59" i="19" s="1"/>
  <c r="C66" i="19"/>
  <c r="C67" i="19" s="1"/>
  <c r="C59" i="19" s="1"/>
  <c r="C729" i="19"/>
  <c r="C730" i="19" s="1"/>
  <c r="C722" i="19" s="1"/>
  <c r="B729" i="19"/>
  <c r="B730" i="19" s="1"/>
  <c r="B722" i="19" s="1"/>
  <c r="C692" i="19"/>
  <c r="C693" i="19" s="1"/>
  <c r="B515" i="19"/>
  <c r="B516" i="19" s="1"/>
  <c r="B508" i="19" s="1"/>
  <c r="C663" i="19"/>
  <c r="C664" i="19" s="1"/>
  <c r="B644" i="19"/>
  <c r="B645" i="19" s="1"/>
  <c r="B636" i="19" s="1"/>
  <c r="B568" i="19"/>
  <c r="B569" i="19" s="1"/>
  <c r="B560" i="19" s="1"/>
  <c r="C568" i="19"/>
  <c r="C569" i="19" s="1"/>
  <c r="B535" i="19"/>
  <c r="B536" i="19" s="1"/>
  <c r="B529" i="19" s="1"/>
  <c r="C535" i="19"/>
  <c r="C536" i="19" s="1"/>
  <c r="B105" i="19"/>
  <c r="C105" i="19"/>
  <c r="C106" i="19" s="1"/>
  <c r="C47" i="19"/>
  <c r="C48" i="19" s="1"/>
  <c r="C42" i="19" s="1"/>
  <c r="B47" i="19"/>
  <c r="B48" i="19" s="1"/>
  <c r="B42" i="19" s="1"/>
  <c r="C812" i="19"/>
  <c r="C813" i="19" s="1"/>
  <c r="C805" i="19" s="1"/>
  <c r="B757" i="19"/>
  <c r="B758" i="19" s="1"/>
  <c r="B749" i="19" s="1"/>
  <c r="C757" i="19"/>
  <c r="C758" i="19" s="1"/>
  <c r="C749" i="19" s="1"/>
  <c r="B634" i="19"/>
  <c r="B635" i="19" s="1"/>
  <c r="B626" i="19" s="1"/>
  <c r="C634" i="19"/>
  <c r="C635" i="19" s="1"/>
  <c r="C626" i="19" s="1"/>
  <c r="B624" i="19"/>
  <c r="B625" i="19" s="1"/>
  <c r="B578" i="19"/>
  <c r="B579" i="19" s="1"/>
  <c r="B570" i="19" s="1"/>
  <c r="C578" i="19"/>
  <c r="C579" i="19" s="1"/>
  <c r="B545" i="19"/>
  <c r="B546" i="19" s="1"/>
  <c r="C545" i="19"/>
  <c r="C546" i="19" s="1"/>
  <c r="B442" i="19"/>
  <c r="B443" i="19" s="1"/>
  <c r="B434" i="19" s="1"/>
  <c r="B414" i="19"/>
  <c r="B415" i="19" s="1"/>
  <c r="C414" i="19"/>
  <c r="C415" i="19" s="1"/>
  <c r="C406" i="19" s="1"/>
  <c r="B394" i="19"/>
  <c r="B395" i="19" s="1"/>
  <c r="C394" i="19"/>
  <c r="C395" i="19" s="1"/>
  <c r="C386" i="19" s="1"/>
  <c r="C370" i="19"/>
  <c r="C371" i="19" s="1"/>
  <c r="B370" i="19"/>
  <c r="B371" i="19" s="1"/>
  <c r="B362" i="19" s="1"/>
  <c r="B360" i="19"/>
  <c r="B361" i="19" s="1"/>
  <c r="C360" i="19"/>
  <c r="C361" i="19" s="1"/>
  <c r="C352" i="19" s="1"/>
  <c r="B331" i="19"/>
  <c r="B332" i="19" s="1"/>
  <c r="C331" i="19"/>
  <c r="C332" i="19" s="1"/>
  <c r="C323" i="19" s="1"/>
  <c r="B212" i="19"/>
  <c r="B213" i="19" s="1"/>
  <c r="C192" i="19"/>
  <c r="C193" i="19" s="1"/>
  <c r="C184" i="19" s="1"/>
  <c r="B720" i="19"/>
  <c r="B721" i="19" s="1"/>
  <c r="C720" i="19"/>
  <c r="C721" i="19" s="1"/>
  <c r="C712" i="19" s="1"/>
  <c r="D712" i="19"/>
  <c r="D646" i="19"/>
  <c r="D636" i="19"/>
  <c r="D606" i="19"/>
  <c r="C222" i="19"/>
  <c r="C232" i="19"/>
  <c r="C233" i="19" s="1"/>
  <c r="C224" i="19" s="1"/>
  <c r="C242" i="19"/>
  <c r="C243" i="19" s="1"/>
  <c r="C234" i="19" s="1"/>
  <c r="C252" i="19"/>
  <c r="C253" i="19" s="1"/>
  <c r="C244" i="19" s="1"/>
  <c r="C266" i="19"/>
  <c r="C267" i="19" s="1"/>
  <c r="C258" i="19" s="1"/>
  <c r="C276" i="19"/>
  <c r="C277" i="19" s="1"/>
  <c r="C268" i="19" s="1"/>
  <c r="C286" i="19"/>
  <c r="C442" i="19"/>
  <c r="C443" i="19" s="1"/>
  <c r="C434" i="19" s="1"/>
  <c r="B20" i="19"/>
  <c r="B21" i="19" s="1"/>
  <c r="B12" i="19" s="1"/>
  <c r="C10" i="19"/>
  <c r="B812" i="19"/>
  <c r="B813" i="19" s="1"/>
  <c r="B805" i="19" s="1"/>
  <c r="C803" i="19"/>
  <c r="C804" i="19" s="1"/>
  <c r="C795" i="19" s="1"/>
  <c r="B803" i="19"/>
  <c r="B804" i="19" s="1"/>
  <c r="B795" i="19" s="1"/>
  <c r="C793" i="19"/>
  <c r="C794" i="19" s="1"/>
  <c r="C786" i="19" s="1"/>
  <c r="B793" i="19"/>
  <c r="B794" i="19" s="1"/>
  <c r="B786" i="19" s="1"/>
  <c r="C777" i="19"/>
  <c r="C778" i="19" s="1"/>
  <c r="C769" i="19" s="1"/>
  <c r="B777" i="19"/>
  <c r="B778" i="19" s="1"/>
  <c r="B769" i="19" s="1"/>
  <c r="C767" i="19"/>
  <c r="B767" i="19"/>
  <c r="B768" i="19" s="1"/>
  <c r="B759" i="19" s="1"/>
  <c r="C747" i="19"/>
  <c r="C748" i="19" s="1"/>
  <c r="C739" i="19" s="1"/>
  <c r="B747" i="19"/>
  <c r="B748" i="19" s="1"/>
  <c r="B739" i="19" s="1"/>
  <c r="C710" i="19"/>
  <c r="C711" i="19" s="1"/>
  <c r="C702" i="19" s="1"/>
  <c r="B710" i="19"/>
  <c r="B711" i="19" s="1"/>
  <c r="B702" i="19" s="1"/>
  <c r="C700" i="19"/>
  <c r="C701" i="19" s="1"/>
  <c r="C694" i="19" s="1"/>
  <c r="B700" i="19"/>
  <c r="B692" i="19"/>
  <c r="B693" i="19" s="1"/>
  <c r="C682" i="19"/>
  <c r="C683" i="19" s="1"/>
  <c r="B682" i="19"/>
  <c r="B683" i="19" s="1"/>
  <c r="C673" i="19"/>
  <c r="C674" i="19" s="1"/>
  <c r="B673" i="19"/>
  <c r="B674" i="19" s="1"/>
  <c r="B665" i="19" s="1"/>
  <c r="B663" i="19"/>
  <c r="B664" i="19" s="1"/>
  <c r="C654" i="19"/>
  <c r="C655" i="19" s="1"/>
  <c r="C646" i="19" s="1"/>
  <c r="B654" i="19"/>
  <c r="B655" i="19" s="1"/>
  <c r="B646" i="19" s="1"/>
  <c r="C644" i="19"/>
  <c r="C645" i="19" s="1"/>
  <c r="C636" i="19" s="1"/>
  <c r="C624" i="19"/>
  <c r="C625" i="19" s="1"/>
  <c r="C616" i="19" s="1"/>
  <c r="C614" i="19"/>
  <c r="C615" i="19" s="1"/>
  <c r="C606" i="19" s="1"/>
  <c r="B614" i="19"/>
  <c r="B615" i="19" s="1"/>
  <c r="B606" i="19" s="1"/>
  <c r="C598" i="19"/>
  <c r="C599" i="19" s="1"/>
  <c r="C590" i="19" s="1"/>
  <c r="B598" i="19"/>
  <c r="B588" i="19"/>
  <c r="B589" i="19" s="1"/>
  <c r="B580" i="19" s="1"/>
  <c r="C588" i="19"/>
  <c r="C589" i="19" s="1"/>
  <c r="C580" i="19" s="1"/>
  <c r="C558" i="19"/>
  <c r="C559" i="19" s="1"/>
  <c r="C551" i="19" s="1"/>
  <c r="B558" i="19"/>
  <c r="B559" i="19" s="1"/>
  <c r="B551" i="19" s="1"/>
  <c r="C527" i="19"/>
  <c r="C528" i="19" s="1"/>
  <c r="C506" i="19"/>
  <c r="C507" i="19" s="1"/>
  <c r="C499" i="19" s="1"/>
  <c r="B506" i="19"/>
  <c r="B507" i="19" s="1"/>
  <c r="B499" i="19" s="1"/>
  <c r="C497" i="19"/>
  <c r="C498" i="19" s="1"/>
  <c r="C489" i="19" s="1"/>
  <c r="B497" i="19"/>
  <c r="B498" i="19" s="1"/>
  <c r="B489" i="19" s="1"/>
  <c r="C487" i="19"/>
  <c r="C488" i="19" s="1"/>
  <c r="C479" i="19" s="1"/>
  <c r="B487" i="19"/>
  <c r="B488" i="19" s="1"/>
  <c r="B479" i="19" s="1"/>
  <c r="C477" i="19"/>
  <c r="C478" i="19" s="1"/>
  <c r="B477" i="19"/>
  <c r="B478" i="19" s="1"/>
  <c r="B469" i="19" s="1"/>
  <c r="C467" i="19"/>
  <c r="B467" i="19"/>
  <c r="B468" i="19" s="1"/>
  <c r="B464" i="19" s="1"/>
  <c r="C432" i="19"/>
  <c r="C433" i="19" s="1"/>
  <c r="C426" i="19" s="1"/>
  <c r="B432" i="19"/>
  <c r="B433" i="19" s="1"/>
  <c r="B426" i="19" s="1"/>
  <c r="C424" i="19"/>
  <c r="C425" i="19" s="1"/>
  <c r="C416" i="19" s="1"/>
  <c r="B424" i="19"/>
  <c r="B425" i="19" s="1"/>
  <c r="B416" i="19" s="1"/>
  <c r="D398" i="19"/>
  <c r="D399" i="19"/>
  <c r="D400" i="19"/>
  <c r="D401" i="19"/>
  <c r="D402" i="19"/>
  <c r="D403" i="19"/>
  <c r="D397" i="19"/>
  <c r="C384" i="19"/>
  <c r="C385" i="19" s="1"/>
  <c r="C376" i="19" s="1"/>
  <c r="B384" i="19"/>
  <c r="B385" i="19" s="1"/>
  <c r="B376" i="19" s="1"/>
  <c r="C350" i="19"/>
  <c r="C351" i="19" s="1"/>
  <c r="C342" i="19" s="1"/>
  <c r="B350" i="19"/>
  <c r="B351" i="19" s="1"/>
  <c r="B342" i="19" s="1"/>
  <c r="C340" i="19"/>
  <c r="C341" i="19" s="1"/>
  <c r="C333" i="19" s="1"/>
  <c r="B340" i="19"/>
  <c r="B341" i="19" s="1"/>
  <c r="B333" i="19" s="1"/>
  <c r="C321" i="19"/>
  <c r="C322" i="19" s="1"/>
  <c r="C317" i="19" s="1"/>
  <c r="B321" i="19"/>
  <c r="B322" i="19" s="1"/>
  <c r="B317" i="19" s="1"/>
  <c r="C315" i="19"/>
  <c r="C316" i="19" s="1"/>
  <c r="C307" i="19" s="1"/>
  <c r="B315" i="19"/>
  <c r="B316" i="19" s="1"/>
  <c r="B307" i="19" s="1"/>
  <c r="C305" i="19"/>
  <c r="C306" i="19" s="1"/>
  <c r="C297" i="19" s="1"/>
  <c r="B305" i="19"/>
  <c r="B306" i="19" s="1"/>
  <c r="B297" i="19" s="1"/>
  <c r="B286" i="19"/>
  <c r="B287" i="19" s="1"/>
  <c r="B278" i="19" s="1"/>
  <c r="B276" i="19"/>
  <c r="B277" i="19" s="1"/>
  <c r="B266" i="19"/>
  <c r="B267" i="19" s="1"/>
  <c r="B258" i="19" s="1"/>
  <c r="B252" i="19"/>
  <c r="B253" i="19" s="1"/>
  <c r="B244" i="19" s="1"/>
  <c r="B242" i="19"/>
  <c r="B243" i="19" s="1"/>
  <c r="B234" i="19" s="1"/>
  <c r="B232" i="19"/>
  <c r="B233" i="19" s="1"/>
  <c r="B224" i="19" s="1"/>
  <c r="B222" i="19"/>
  <c r="B223" i="19" s="1"/>
  <c r="B214" i="19" s="1"/>
  <c r="C212" i="19"/>
  <c r="C213" i="19" s="1"/>
  <c r="C204" i="19" s="1"/>
  <c r="C202" i="19"/>
  <c r="C203" i="19" s="1"/>
  <c r="B202" i="19"/>
  <c r="B203" i="19" s="1"/>
  <c r="B194" i="19" s="1"/>
  <c r="B192" i="19"/>
  <c r="B193" i="19" s="1"/>
  <c r="B184" i="19" s="1"/>
  <c r="B182" i="19"/>
  <c r="B183" i="19" s="1"/>
  <c r="C182" i="19"/>
  <c r="C183" i="19" s="1"/>
  <c r="B172" i="19"/>
  <c r="B173" i="19" s="1"/>
  <c r="C172" i="19"/>
  <c r="C173" i="19" s="1"/>
  <c r="C164" i="19" s="1"/>
  <c r="C162" i="19"/>
  <c r="C163" i="19" s="1"/>
  <c r="C154" i="19" s="1"/>
  <c r="B162" i="19"/>
  <c r="B163" i="19" s="1"/>
  <c r="B154" i="19" s="1"/>
  <c r="B152" i="19"/>
  <c r="B153" i="19" s="1"/>
  <c r="B145" i="19" s="1"/>
  <c r="C152" i="19"/>
  <c r="C153" i="19" s="1"/>
  <c r="C145" i="19" s="1"/>
  <c r="C133" i="19"/>
  <c r="C134" i="19" s="1"/>
  <c r="C125" i="19" s="1"/>
  <c r="B133" i="19"/>
  <c r="B134" i="19" s="1"/>
  <c r="B125" i="19" s="1"/>
  <c r="C119" i="19"/>
  <c r="C120" i="19" s="1"/>
  <c r="B119" i="19"/>
  <c r="B120" i="19" s="1"/>
  <c r="B111" i="19" s="1"/>
  <c r="C96" i="19"/>
  <c r="C97" i="19" s="1"/>
  <c r="B96" i="19"/>
  <c r="B97" i="19" s="1"/>
  <c r="B88" i="19" s="1"/>
  <c r="B76" i="19"/>
  <c r="B77" i="19" s="1"/>
  <c r="B68" i="19" s="1"/>
  <c r="C76" i="19"/>
  <c r="C77" i="19" s="1"/>
  <c r="C68" i="19" s="1"/>
  <c r="B57" i="19"/>
  <c r="B58" i="19" s="1"/>
  <c r="B49" i="19" s="1"/>
  <c r="C57" i="19"/>
  <c r="C58" i="19" s="1"/>
  <c r="C49" i="19" s="1"/>
  <c r="C40" i="19"/>
  <c r="C41" i="19" s="1"/>
  <c r="C32" i="19" s="1"/>
  <c r="B40" i="19"/>
  <c r="B41" i="19" s="1"/>
  <c r="B32" i="19" s="1"/>
  <c r="B30" i="19"/>
  <c r="B31" i="19" s="1"/>
  <c r="C30" i="19"/>
  <c r="C31" i="19" s="1"/>
  <c r="C20" i="19"/>
  <c r="C21" i="19" s="1"/>
  <c r="C12" i="19" s="1"/>
  <c r="B10" i="19"/>
  <c r="B11" i="19" s="1"/>
  <c r="B2" i="19" s="1"/>
  <c r="I785" i="19" l="1"/>
  <c r="J785" i="19" s="1"/>
  <c r="I453" i="19"/>
  <c r="J453" i="19" s="1"/>
  <c r="G102" i="19"/>
  <c r="I102" i="19" s="1"/>
  <c r="J102" i="19" s="1"/>
  <c r="I452" i="19"/>
  <c r="J452" i="19" s="1"/>
  <c r="I462" i="19"/>
  <c r="J462" i="19" s="1"/>
  <c r="I405" i="19"/>
  <c r="J405" i="19" s="1"/>
  <c r="I463" i="19"/>
  <c r="J463" i="19" s="1"/>
  <c r="I404" i="19"/>
  <c r="J404" i="19" s="1"/>
  <c r="I663" i="19"/>
  <c r="J663" i="19" s="1"/>
  <c r="C735" i="19"/>
  <c r="B600" i="19"/>
  <c r="I784" i="19"/>
  <c r="J784" i="19" s="1"/>
  <c r="C600" i="19"/>
  <c r="C396" i="19"/>
  <c r="C444" i="19"/>
  <c r="D785" i="19"/>
  <c r="E785" i="19" s="1"/>
  <c r="D784" i="19"/>
  <c r="E784" i="19" s="1"/>
  <c r="I758" i="19"/>
  <c r="J758" i="19" s="1"/>
  <c r="I757" i="19"/>
  <c r="J757" i="19" s="1"/>
  <c r="D737" i="19"/>
  <c r="D738" i="19"/>
  <c r="E738" i="19" s="1"/>
  <c r="I683" i="19"/>
  <c r="J683" i="19" s="1"/>
  <c r="I682" i="19"/>
  <c r="J682" i="19" s="1"/>
  <c r="I693" i="19"/>
  <c r="J693" i="19" s="1"/>
  <c r="I276" i="19"/>
  <c r="J276" i="19" s="1"/>
  <c r="D375" i="19"/>
  <c r="E375" i="19" s="1"/>
  <c r="I360" i="19"/>
  <c r="J360" i="19" s="1"/>
  <c r="I361" i="19"/>
  <c r="J361" i="19" s="1"/>
  <c r="I277" i="19"/>
  <c r="J277" i="19" s="1"/>
  <c r="D519" i="19"/>
  <c r="E519" i="19" s="1"/>
  <c r="D295" i="19"/>
  <c r="E295" i="19" s="1"/>
  <c r="D105" i="19"/>
  <c r="E105" i="19" s="1"/>
  <c r="I331" i="19"/>
  <c r="J331" i="19" s="1"/>
  <c r="I332" i="19"/>
  <c r="J332" i="19" s="1"/>
  <c r="D374" i="19"/>
  <c r="E374" i="19" s="1"/>
  <c r="B675" i="19"/>
  <c r="B454" i="19"/>
  <c r="D604" i="19"/>
  <c r="I692" i="19"/>
  <c r="J692" i="19" s="1"/>
  <c r="D296" i="19"/>
  <c r="E296" i="19" s="1"/>
  <c r="D520" i="19"/>
  <c r="E520" i="19" s="1"/>
  <c r="C656" i="19"/>
  <c r="B656" i="19"/>
  <c r="C675" i="19"/>
  <c r="B684" i="19"/>
  <c r="C684" i="19"/>
  <c r="D605" i="19"/>
  <c r="E605" i="19" s="1"/>
  <c r="I141" i="19"/>
  <c r="J141" i="19" s="1"/>
  <c r="D123" i="19"/>
  <c r="E123" i="19" s="1"/>
  <c r="D256" i="19"/>
  <c r="E256" i="19" s="1"/>
  <c r="D803" i="19"/>
  <c r="E803" i="19" s="1"/>
  <c r="I140" i="19"/>
  <c r="J140" i="19" s="1"/>
  <c r="D700" i="19"/>
  <c r="E700" i="19" s="1"/>
  <c r="D86" i="19"/>
  <c r="E86" i="19" s="1"/>
  <c r="D257" i="19"/>
  <c r="E257" i="19" s="1"/>
  <c r="C194" i="19"/>
  <c r="D194" i="19" s="1"/>
  <c r="E194" i="19" s="1"/>
  <c r="D109" i="19"/>
  <c r="E109" i="19" s="1"/>
  <c r="D124" i="19"/>
  <c r="E124" i="19" s="1"/>
  <c r="B599" i="19"/>
  <c r="D599" i="19" s="1"/>
  <c r="D110" i="19"/>
  <c r="E110" i="19" s="1"/>
  <c r="B106" i="19"/>
  <c r="D106" i="19" s="1"/>
  <c r="E106" i="19" s="1"/>
  <c r="B87" i="19"/>
  <c r="B78" i="19" s="1"/>
  <c r="C88" i="19"/>
  <c r="B396" i="19"/>
  <c r="B144" i="19"/>
  <c r="B135" i="19" s="1"/>
  <c r="C768" i="19"/>
  <c r="C759" i="19" s="1"/>
  <c r="C111" i="19"/>
  <c r="C11" i="19"/>
  <c r="C2" i="19" s="1"/>
  <c r="B701" i="19"/>
  <c r="B694" i="19" s="1"/>
  <c r="C223" i="19"/>
  <c r="C214" i="19" s="1"/>
  <c r="C287" i="19"/>
  <c r="D287" i="19" s="1"/>
  <c r="B164" i="19"/>
  <c r="C468" i="19"/>
  <c r="C464" i="19" s="1"/>
  <c r="B22" i="19"/>
  <c r="B174" i="19"/>
  <c r="C665" i="19"/>
  <c r="C22" i="19"/>
  <c r="C174" i="19"/>
  <c r="C469" i="19"/>
  <c r="B268" i="19"/>
  <c r="C521" i="19"/>
  <c r="D692" i="19"/>
  <c r="E692" i="19" s="1"/>
  <c r="B528" i="19"/>
  <c r="B521" i="19" s="1"/>
  <c r="C560" i="19"/>
  <c r="C529" i="19"/>
  <c r="B616" i="19"/>
  <c r="C570" i="19"/>
  <c r="D546" i="19"/>
  <c r="E546" i="19" s="1"/>
  <c r="D507" i="19"/>
  <c r="C454" i="19"/>
  <c r="B444" i="19"/>
  <c r="B406" i="19"/>
  <c r="B386" i="19"/>
  <c r="C362" i="19"/>
  <c r="B323" i="19"/>
  <c r="B204" i="19"/>
  <c r="D204" i="19" s="1"/>
  <c r="E204" i="19" s="1"/>
  <c r="D804" i="19"/>
  <c r="B712" i="19"/>
  <c r="E712" i="19" s="1"/>
  <c r="D812" i="19"/>
  <c r="E812" i="19" s="1"/>
  <c r="D794" i="19"/>
  <c r="D793" i="19"/>
  <c r="E793" i="19" s="1"/>
  <c r="D767" i="19"/>
  <c r="E767" i="19" s="1"/>
  <c r="D625" i="19"/>
  <c r="D360" i="19"/>
  <c r="E360" i="19" s="1"/>
  <c r="D757" i="19"/>
  <c r="E757" i="19" s="1"/>
  <c r="D813" i="19"/>
  <c r="D710" i="19"/>
  <c r="E710" i="19" s="1"/>
  <c r="D663" i="19"/>
  <c r="E663" i="19" s="1"/>
  <c r="D729" i="19"/>
  <c r="E729" i="19" s="1"/>
  <c r="D682" i="19"/>
  <c r="E682" i="19" s="1"/>
  <c r="D730" i="19"/>
  <c r="D488" i="19"/>
  <c r="D624" i="19"/>
  <c r="E624" i="19" s="1"/>
  <c r="D634" i="19"/>
  <c r="E634" i="19" s="1"/>
  <c r="D527" i="19"/>
  <c r="D747" i="19"/>
  <c r="E747" i="19" s="1"/>
  <c r="D635" i="19"/>
  <c r="E635" i="19" s="1"/>
  <c r="D361" i="19"/>
  <c r="D711" i="19"/>
  <c r="D758" i="19"/>
  <c r="D20" i="19"/>
  <c r="E20" i="19" s="1"/>
  <c r="D21" i="19"/>
  <c r="E21" i="19" s="1"/>
  <c r="D331" i="19"/>
  <c r="E331" i="19" s="1"/>
  <c r="D693" i="19"/>
  <c r="D748" i="19"/>
  <c r="D415" i="19"/>
  <c r="D778" i="19"/>
  <c r="D777" i="19"/>
  <c r="E777" i="19" s="1"/>
  <c r="D674" i="19"/>
  <c r="D673" i="19"/>
  <c r="E673" i="19" s="1"/>
  <c r="D598" i="19"/>
  <c r="E598" i="19" s="1"/>
  <c r="D589" i="19"/>
  <c r="D588" i="19"/>
  <c r="E588" i="19" s="1"/>
  <c r="D579" i="19"/>
  <c r="D578" i="19"/>
  <c r="E578" i="19" s="1"/>
  <c r="D569" i="19"/>
  <c r="D568" i="19"/>
  <c r="E568" i="19" s="1"/>
  <c r="D559" i="19"/>
  <c r="D558" i="19"/>
  <c r="E558" i="19" s="1"/>
  <c r="D545" i="19"/>
  <c r="E545" i="19" s="1"/>
  <c r="D536" i="19"/>
  <c r="D535" i="19"/>
  <c r="E535" i="19" s="1"/>
  <c r="D516" i="19"/>
  <c r="D515" i="19"/>
  <c r="E515" i="19" s="1"/>
  <c r="D506" i="19"/>
  <c r="E506" i="19" s="1"/>
  <c r="D498" i="19"/>
  <c r="D497" i="19"/>
  <c r="E497" i="19" s="1"/>
  <c r="D487" i="19"/>
  <c r="E487" i="19" s="1"/>
  <c r="D478" i="19"/>
  <c r="E478" i="19" s="1"/>
  <c r="D477" i="19"/>
  <c r="E477" i="19" s="1"/>
  <c r="D467" i="19"/>
  <c r="E467" i="19" s="1"/>
  <c r="D462" i="19"/>
  <c r="E462" i="19" s="1"/>
  <c r="D452" i="19"/>
  <c r="E452" i="19" s="1"/>
  <c r="D443" i="19"/>
  <c r="D442" i="19"/>
  <c r="E442" i="19" s="1"/>
  <c r="D433" i="19"/>
  <c r="D432" i="19"/>
  <c r="E432" i="19" s="1"/>
  <c r="D425" i="19"/>
  <c r="D424" i="19"/>
  <c r="E424" i="19" s="1"/>
  <c r="D414" i="19"/>
  <c r="E414" i="19" s="1"/>
  <c r="D404" i="19"/>
  <c r="E404" i="19" s="1"/>
  <c r="D405" i="19"/>
  <c r="D395" i="19"/>
  <c r="D394" i="19"/>
  <c r="E394" i="19" s="1"/>
  <c r="D385" i="19"/>
  <c r="E385" i="19" s="1"/>
  <c r="D384" i="19"/>
  <c r="E384" i="19" s="1"/>
  <c r="D371" i="19"/>
  <c r="D370" i="19"/>
  <c r="E370" i="19" s="1"/>
  <c r="D332" i="19"/>
  <c r="D143" i="19"/>
  <c r="E143" i="19" s="1"/>
  <c r="D41" i="19"/>
  <c r="D40" i="19"/>
  <c r="E40" i="19" s="1"/>
  <c r="D31" i="19"/>
  <c r="E31" i="19" s="1"/>
  <c r="D30" i="19"/>
  <c r="D10" i="19"/>
  <c r="E10" i="19" s="1"/>
  <c r="E65" i="19"/>
  <c r="E121" i="19"/>
  <c r="E136" i="19"/>
  <c r="E137" i="19"/>
  <c r="E138" i="19"/>
  <c r="E139" i="19"/>
  <c r="E140" i="19"/>
  <c r="E141" i="19"/>
  <c r="E142" i="19"/>
  <c r="E215" i="19"/>
  <c r="E216" i="19"/>
  <c r="E217" i="19"/>
  <c r="E218" i="19"/>
  <c r="E811" i="19"/>
  <c r="E792" i="19"/>
  <c r="E791" i="19"/>
  <c r="E720" i="19"/>
  <c r="E721" i="19"/>
  <c r="E723" i="19"/>
  <c r="E724" i="19"/>
  <c r="E725" i="19"/>
  <c r="E726" i="19"/>
  <c r="E727" i="19"/>
  <c r="E728" i="19"/>
  <c r="E655" i="19"/>
  <c r="E654" i="19"/>
  <c r="E645" i="19"/>
  <c r="E644" i="19"/>
  <c r="E606" i="19"/>
  <c r="E607" i="19"/>
  <c r="E608" i="19"/>
  <c r="E609" i="19"/>
  <c r="E610" i="19"/>
  <c r="E611" i="19"/>
  <c r="E612" i="19"/>
  <c r="E613" i="19"/>
  <c r="E614" i="19"/>
  <c r="E615" i="19"/>
  <c r="E581" i="19"/>
  <c r="E582" i="19"/>
  <c r="E583" i="19"/>
  <c r="E584" i="19"/>
  <c r="E585" i="19"/>
  <c r="E586" i="19"/>
  <c r="E587" i="19"/>
  <c r="E526" i="19"/>
  <c r="E530" i="19"/>
  <c r="E531" i="19"/>
  <c r="E532" i="19"/>
  <c r="E533" i="19"/>
  <c r="E534" i="19"/>
  <c r="D351" i="19"/>
  <c r="D350" i="19"/>
  <c r="E350" i="19" s="1"/>
  <c r="D341" i="19"/>
  <c r="D340" i="19"/>
  <c r="E340" i="19" s="1"/>
  <c r="D322" i="19"/>
  <c r="D321" i="19"/>
  <c r="E321" i="19" s="1"/>
  <c r="D316" i="19"/>
  <c r="D315" i="19"/>
  <c r="E315" i="19" s="1"/>
  <c r="D306" i="19"/>
  <c r="D305" i="19"/>
  <c r="E305" i="19" s="1"/>
  <c r="D286" i="19"/>
  <c r="E286" i="19" s="1"/>
  <c r="D277" i="19"/>
  <c r="D276" i="19"/>
  <c r="E276" i="19" s="1"/>
  <c r="D267" i="19"/>
  <c r="D266" i="19"/>
  <c r="E266" i="19" s="1"/>
  <c r="D253" i="19"/>
  <c r="D252" i="19"/>
  <c r="E252" i="19" s="1"/>
  <c r="D243" i="19"/>
  <c r="D242" i="19"/>
  <c r="E242" i="19" s="1"/>
  <c r="D233" i="19"/>
  <c r="D232" i="19"/>
  <c r="E232" i="19" s="1"/>
  <c r="D222" i="19"/>
  <c r="E222" i="19" s="1"/>
  <c r="D213" i="19"/>
  <c r="E213" i="19" s="1"/>
  <c r="D212" i="19"/>
  <c r="E212" i="19" s="1"/>
  <c r="D203" i="19"/>
  <c r="E203" i="19" s="1"/>
  <c r="D202" i="19"/>
  <c r="E202" i="19" s="1"/>
  <c r="D193" i="19"/>
  <c r="D192" i="19"/>
  <c r="E192" i="19" s="1"/>
  <c r="D183" i="19"/>
  <c r="D182" i="19"/>
  <c r="E182" i="19" s="1"/>
  <c r="D173" i="19"/>
  <c r="D172" i="19"/>
  <c r="E172" i="19" s="1"/>
  <c r="D163" i="19"/>
  <c r="D162" i="19"/>
  <c r="E162" i="19" s="1"/>
  <c r="D153" i="19"/>
  <c r="D152" i="19"/>
  <c r="E152" i="19" s="1"/>
  <c r="D134" i="19"/>
  <c r="D133" i="19"/>
  <c r="E133" i="19" s="1"/>
  <c r="D120" i="19"/>
  <c r="D119" i="19"/>
  <c r="E119" i="19" s="1"/>
  <c r="D97" i="19"/>
  <c r="D96" i="19"/>
  <c r="E96" i="19" s="1"/>
  <c r="D77" i="19"/>
  <c r="D76" i="19"/>
  <c r="E76" i="19" s="1"/>
  <c r="D67" i="19"/>
  <c r="D66" i="19"/>
  <c r="E66" i="19" s="1"/>
  <c r="D58" i="19"/>
  <c r="D57" i="19"/>
  <c r="E57" i="19" s="1"/>
  <c r="D48" i="19"/>
  <c r="D47" i="19"/>
  <c r="E47" i="19" s="1"/>
  <c r="E43" i="19"/>
  <c r="E44" i="19"/>
  <c r="E45" i="19"/>
  <c r="E46" i="19"/>
  <c r="E9" i="19"/>
  <c r="E3" i="19"/>
  <c r="E4" i="19"/>
  <c r="E5" i="19"/>
  <c r="E6" i="19"/>
  <c r="E7" i="19"/>
  <c r="E8" i="19"/>
  <c r="E13" i="19"/>
  <c r="E14" i="19"/>
  <c r="E15" i="19"/>
  <c r="E16" i="19"/>
  <c r="E17" i="19"/>
  <c r="E18" i="19"/>
  <c r="E19" i="19"/>
  <c r="E23" i="19"/>
  <c r="E24" i="19"/>
  <c r="E25" i="19"/>
  <c r="E26" i="19"/>
  <c r="E27" i="19"/>
  <c r="E28" i="19"/>
  <c r="E29" i="19"/>
  <c r="E33" i="19"/>
  <c r="E34" i="19"/>
  <c r="E35" i="19"/>
  <c r="E36" i="19"/>
  <c r="E37" i="19"/>
  <c r="E38" i="19"/>
  <c r="E39" i="19"/>
  <c r="E50" i="19"/>
  <c r="E51" i="19"/>
  <c r="E52" i="19"/>
  <c r="E53" i="19"/>
  <c r="E54" i="19"/>
  <c r="E55" i="19"/>
  <c r="E56" i="19"/>
  <c r="E60" i="19"/>
  <c r="E61" i="19"/>
  <c r="E62" i="19"/>
  <c r="E63" i="19"/>
  <c r="E64" i="19"/>
  <c r="E69" i="19"/>
  <c r="E70" i="19"/>
  <c r="E71" i="19"/>
  <c r="E72" i="19"/>
  <c r="E73" i="19"/>
  <c r="E74" i="19"/>
  <c r="E75" i="19"/>
  <c r="E79" i="19"/>
  <c r="E80" i="19"/>
  <c r="E81" i="19"/>
  <c r="E82" i="19"/>
  <c r="E83" i="19"/>
  <c r="E84" i="19"/>
  <c r="E85" i="19"/>
  <c r="E89" i="19"/>
  <c r="E90" i="19"/>
  <c r="E91" i="19"/>
  <c r="E92" i="19"/>
  <c r="E93" i="19"/>
  <c r="E94" i="19"/>
  <c r="E95" i="19"/>
  <c r="E98" i="19"/>
  <c r="E99" i="19"/>
  <c r="E100" i="19"/>
  <c r="E101" i="19"/>
  <c r="E102" i="19"/>
  <c r="E103" i="19"/>
  <c r="E104" i="19"/>
  <c r="E107" i="19"/>
  <c r="E108" i="19"/>
  <c r="E112" i="19"/>
  <c r="E113" i="19"/>
  <c r="E114" i="19"/>
  <c r="E115" i="19"/>
  <c r="E116" i="19"/>
  <c r="E117" i="19"/>
  <c r="E118" i="19"/>
  <c r="E122" i="19"/>
  <c r="E126" i="19"/>
  <c r="E127" i="19"/>
  <c r="E128" i="19"/>
  <c r="E129" i="19"/>
  <c r="E130" i="19"/>
  <c r="E131" i="19"/>
  <c r="E132" i="19"/>
  <c r="E146" i="19"/>
  <c r="E147" i="19"/>
  <c r="E148" i="19"/>
  <c r="E149" i="19"/>
  <c r="E150" i="19"/>
  <c r="E151" i="19"/>
  <c r="E155" i="19"/>
  <c r="E156" i="19"/>
  <c r="E157" i="19"/>
  <c r="E158" i="19"/>
  <c r="E159" i="19"/>
  <c r="E160" i="19"/>
  <c r="E161" i="19"/>
  <c r="E165" i="19"/>
  <c r="E166" i="19"/>
  <c r="E167" i="19"/>
  <c r="E168" i="19"/>
  <c r="E169" i="19"/>
  <c r="E170" i="19"/>
  <c r="E171" i="19"/>
  <c r="E175" i="19"/>
  <c r="E176" i="19"/>
  <c r="E177" i="19"/>
  <c r="E178" i="19"/>
  <c r="E179" i="19"/>
  <c r="E180" i="19"/>
  <c r="E181" i="19"/>
  <c r="E185" i="19"/>
  <c r="E186" i="19"/>
  <c r="E187" i="19"/>
  <c r="E188" i="19"/>
  <c r="E189" i="19"/>
  <c r="E190" i="19"/>
  <c r="E191" i="19"/>
  <c r="E195" i="19"/>
  <c r="E196" i="19"/>
  <c r="E197" i="19"/>
  <c r="E198" i="19"/>
  <c r="E199" i="19"/>
  <c r="E200" i="19"/>
  <c r="E201" i="19"/>
  <c r="E205" i="19"/>
  <c r="E206" i="19"/>
  <c r="E207" i="19"/>
  <c r="E208" i="19"/>
  <c r="E209" i="19"/>
  <c r="E210" i="19"/>
  <c r="E211" i="19"/>
  <c r="E219" i="19"/>
  <c r="E220" i="19"/>
  <c r="E221" i="19"/>
  <c r="E225" i="19"/>
  <c r="E226" i="19"/>
  <c r="E227" i="19"/>
  <c r="E228" i="19"/>
  <c r="E229" i="19"/>
  <c r="E230" i="19"/>
  <c r="E231" i="19"/>
  <c r="E235" i="19"/>
  <c r="E236" i="19"/>
  <c r="E237" i="19"/>
  <c r="E238" i="19"/>
  <c r="E239" i="19"/>
  <c r="E240" i="19"/>
  <c r="E241" i="19"/>
  <c r="E245" i="19"/>
  <c r="E246" i="19"/>
  <c r="E247" i="19"/>
  <c r="E248" i="19"/>
  <c r="E249" i="19"/>
  <c r="E250" i="19"/>
  <c r="E251" i="19"/>
  <c r="E254" i="19"/>
  <c r="E255" i="19"/>
  <c r="E259" i="19"/>
  <c r="E260" i="19"/>
  <c r="E261" i="19"/>
  <c r="E262" i="19"/>
  <c r="E263" i="19"/>
  <c r="E264" i="19"/>
  <c r="E265" i="19"/>
  <c r="E269" i="19"/>
  <c r="E270" i="19"/>
  <c r="E271" i="19"/>
  <c r="E272" i="19"/>
  <c r="E273" i="19"/>
  <c r="E274" i="19"/>
  <c r="E275" i="19"/>
  <c r="E279" i="19"/>
  <c r="E280" i="19"/>
  <c r="E281" i="19"/>
  <c r="E282" i="19"/>
  <c r="E283" i="19"/>
  <c r="E284" i="19"/>
  <c r="E285" i="19"/>
  <c r="E288" i="19"/>
  <c r="E289" i="19"/>
  <c r="E290" i="19"/>
  <c r="E291" i="19"/>
  <c r="E292" i="19"/>
  <c r="E293" i="19"/>
  <c r="E298" i="19"/>
  <c r="E299" i="19"/>
  <c r="E300" i="19"/>
  <c r="E301" i="19"/>
  <c r="E302" i="19"/>
  <c r="E303" i="19"/>
  <c r="E304" i="19"/>
  <c r="E308" i="19"/>
  <c r="E309" i="19"/>
  <c r="E310" i="19"/>
  <c r="E311" i="19"/>
  <c r="E312" i="19"/>
  <c r="E313" i="19"/>
  <c r="E314" i="19"/>
  <c r="E318" i="19"/>
  <c r="E319" i="19"/>
  <c r="E320" i="19"/>
  <c r="E324" i="19"/>
  <c r="E325" i="19"/>
  <c r="E326" i="19"/>
  <c r="E327" i="19"/>
  <c r="E328" i="19"/>
  <c r="E329" i="19"/>
  <c r="E330" i="19"/>
  <c r="E334" i="19"/>
  <c r="E335" i="19"/>
  <c r="E336" i="19"/>
  <c r="E337" i="19"/>
  <c r="E338" i="19"/>
  <c r="E339" i="19"/>
  <c r="E343" i="19"/>
  <c r="E344" i="19"/>
  <c r="E345" i="19"/>
  <c r="E346" i="19"/>
  <c r="E347" i="19"/>
  <c r="E348" i="19"/>
  <c r="E349" i="19"/>
  <c r="E353" i="19"/>
  <c r="E354" i="19"/>
  <c r="E355" i="19"/>
  <c r="E356" i="19"/>
  <c r="E357" i="19"/>
  <c r="E358" i="19"/>
  <c r="E359" i="19"/>
  <c r="E363" i="19"/>
  <c r="E364" i="19"/>
  <c r="E365" i="19"/>
  <c r="E366" i="19"/>
  <c r="E367" i="19"/>
  <c r="E368" i="19"/>
  <c r="E369" i="19"/>
  <c r="E372" i="19"/>
  <c r="E373" i="19"/>
  <c r="E377" i="19"/>
  <c r="E378" i="19"/>
  <c r="E379" i="19"/>
  <c r="E380" i="19"/>
  <c r="E381" i="19"/>
  <c r="E382" i="19"/>
  <c r="E383" i="19"/>
  <c r="E387" i="19"/>
  <c r="E388" i="19"/>
  <c r="E389" i="19"/>
  <c r="E390" i="19"/>
  <c r="E391" i="19"/>
  <c r="E392" i="19"/>
  <c r="E393" i="19"/>
  <c r="E397" i="19"/>
  <c r="E398" i="19"/>
  <c r="E399" i="19"/>
  <c r="E400" i="19"/>
  <c r="E401" i="19"/>
  <c r="E402" i="19"/>
  <c r="E403" i="19"/>
  <c r="E407" i="19"/>
  <c r="E408" i="19"/>
  <c r="E409" i="19"/>
  <c r="E410" i="19"/>
  <c r="E411" i="19"/>
  <c r="E412" i="19"/>
  <c r="E413" i="19"/>
  <c r="E417" i="19"/>
  <c r="E418" i="19"/>
  <c r="E419" i="19"/>
  <c r="E420" i="19"/>
  <c r="E421" i="19"/>
  <c r="E422" i="19"/>
  <c r="E423" i="19"/>
  <c r="E427" i="19"/>
  <c r="E428" i="19"/>
  <c r="E429" i="19"/>
  <c r="E430" i="19"/>
  <c r="E431" i="19"/>
  <c r="E435" i="19"/>
  <c r="E436" i="19"/>
  <c r="E437" i="19"/>
  <c r="E438" i="19"/>
  <c r="E439" i="19"/>
  <c r="E440" i="19"/>
  <c r="E441" i="19"/>
  <c r="E445" i="19"/>
  <c r="E446" i="19"/>
  <c r="E447" i="19"/>
  <c r="E448" i="19"/>
  <c r="E449" i="19"/>
  <c r="E450" i="19"/>
  <c r="E451" i="19"/>
  <c r="E455" i="19"/>
  <c r="E456" i="19"/>
  <c r="E457" i="19"/>
  <c r="E458" i="19"/>
  <c r="E459" i="19"/>
  <c r="E460" i="19"/>
  <c r="E461" i="19"/>
  <c r="E465" i="19"/>
  <c r="E466" i="19"/>
  <c r="E470" i="19"/>
  <c r="E471" i="19"/>
  <c r="E472" i="19"/>
  <c r="E473" i="19"/>
  <c r="E474" i="19"/>
  <c r="E475" i="19"/>
  <c r="E476" i="19"/>
  <c r="E480" i="19"/>
  <c r="E481" i="19"/>
  <c r="E482" i="19"/>
  <c r="E483" i="19"/>
  <c r="E484" i="19"/>
  <c r="E485" i="19"/>
  <c r="E486" i="19"/>
  <c r="E490" i="19"/>
  <c r="E491" i="19"/>
  <c r="E492" i="19"/>
  <c r="E493" i="19"/>
  <c r="E494" i="19"/>
  <c r="E495" i="19"/>
  <c r="E496" i="19"/>
  <c r="E500" i="19"/>
  <c r="E501" i="19"/>
  <c r="E502" i="19"/>
  <c r="E503" i="19"/>
  <c r="E504" i="19"/>
  <c r="E505" i="19"/>
  <c r="E509" i="19"/>
  <c r="E510" i="19"/>
  <c r="E511" i="19"/>
  <c r="E512" i="19"/>
  <c r="E513" i="19"/>
  <c r="E514" i="19"/>
  <c r="E517" i="19"/>
  <c r="E518" i="19"/>
  <c r="E522" i="19"/>
  <c r="E523" i="19"/>
  <c r="E524" i="19"/>
  <c r="E525" i="19"/>
  <c r="E537" i="19"/>
  <c r="E538" i="19"/>
  <c r="E539" i="19"/>
  <c r="E540" i="19"/>
  <c r="E541" i="19"/>
  <c r="E542" i="19"/>
  <c r="E543" i="19"/>
  <c r="E544" i="19"/>
  <c r="E547" i="19"/>
  <c r="E548" i="19"/>
  <c r="E552" i="19"/>
  <c r="E553" i="19"/>
  <c r="E554" i="19"/>
  <c r="E555" i="19"/>
  <c r="E556" i="19"/>
  <c r="E557" i="19"/>
  <c r="E561" i="19"/>
  <c r="E562" i="19"/>
  <c r="E563" i="19"/>
  <c r="E564" i="19"/>
  <c r="E565" i="19"/>
  <c r="E566" i="19"/>
  <c r="E567" i="19"/>
  <c r="E571" i="19"/>
  <c r="E572" i="19"/>
  <c r="E573" i="19"/>
  <c r="E574" i="19"/>
  <c r="E575" i="19"/>
  <c r="E576" i="19"/>
  <c r="E577" i="19"/>
  <c r="E591" i="19"/>
  <c r="E592" i="19"/>
  <c r="E593" i="19"/>
  <c r="E594" i="19"/>
  <c r="E595" i="19"/>
  <c r="E596" i="19"/>
  <c r="E597" i="19"/>
  <c r="E601" i="19"/>
  <c r="E602" i="19"/>
  <c r="E603" i="19"/>
  <c r="E617" i="19"/>
  <c r="E618" i="19"/>
  <c r="E619" i="19"/>
  <c r="E620" i="19"/>
  <c r="E621" i="19"/>
  <c r="E622" i="19"/>
  <c r="E623" i="19"/>
  <c r="E627" i="19"/>
  <c r="E628" i="19"/>
  <c r="E629" i="19"/>
  <c r="E630" i="19"/>
  <c r="E631" i="19"/>
  <c r="E632" i="19"/>
  <c r="E633" i="19"/>
  <c r="E636" i="19"/>
  <c r="E637" i="19"/>
  <c r="E638" i="19"/>
  <c r="E639" i="19"/>
  <c r="E640" i="19"/>
  <c r="E641" i="19"/>
  <c r="E642" i="19"/>
  <c r="E643" i="19"/>
  <c r="E646" i="19"/>
  <c r="E647" i="19"/>
  <c r="E648" i="19"/>
  <c r="E649" i="19"/>
  <c r="E650" i="19"/>
  <c r="E651" i="19"/>
  <c r="E652" i="19"/>
  <c r="E653" i="19"/>
  <c r="E657" i="19"/>
  <c r="E658" i="19"/>
  <c r="E659" i="19"/>
  <c r="E660" i="19"/>
  <c r="E661" i="19"/>
  <c r="E662" i="19"/>
  <c r="E666" i="19"/>
  <c r="E667" i="19"/>
  <c r="E668" i="19"/>
  <c r="E669" i="19"/>
  <c r="E670" i="19"/>
  <c r="E671" i="19"/>
  <c r="E672" i="19"/>
  <c r="E676" i="19"/>
  <c r="E677" i="19"/>
  <c r="E678" i="19"/>
  <c r="E679" i="19"/>
  <c r="E680" i="19"/>
  <c r="E681" i="19"/>
  <c r="E685" i="19"/>
  <c r="E686" i="19"/>
  <c r="E687" i="19"/>
  <c r="E688" i="19"/>
  <c r="E689" i="19"/>
  <c r="E690" i="19"/>
  <c r="E691" i="19"/>
  <c r="E695" i="19"/>
  <c r="E696" i="19"/>
  <c r="E697" i="19"/>
  <c r="E698" i="19"/>
  <c r="E699" i="19"/>
  <c r="E703" i="19"/>
  <c r="E704" i="19"/>
  <c r="E705" i="19"/>
  <c r="E706" i="19"/>
  <c r="E707" i="19"/>
  <c r="E708" i="19"/>
  <c r="E709" i="19"/>
  <c r="E713" i="19"/>
  <c r="E714" i="19"/>
  <c r="E715" i="19"/>
  <c r="E716" i="19"/>
  <c r="E717" i="19"/>
  <c r="E718" i="19"/>
  <c r="E719" i="19"/>
  <c r="E731" i="19"/>
  <c r="E732" i="19"/>
  <c r="E736" i="19"/>
  <c r="E740" i="19"/>
  <c r="E741" i="19"/>
  <c r="E742" i="19"/>
  <c r="E743" i="19"/>
  <c r="E744" i="19"/>
  <c r="E745" i="19"/>
  <c r="E746" i="19"/>
  <c r="E750" i="19"/>
  <c r="E751" i="19"/>
  <c r="E752" i="19"/>
  <c r="E753" i="19"/>
  <c r="E754" i="19"/>
  <c r="E755" i="19"/>
  <c r="E756" i="19"/>
  <c r="E760" i="19"/>
  <c r="E761" i="19"/>
  <c r="E762" i="19"/>
  <c r="E763" i="19"/>
  <c r="E764" i="19"/>
  <c r="E765" i="19"/>
  <c r="E766" i="19"/>
  <c r="E770" i="19"/>
  <c r="E771" i="19"/>
  <c r="E772" i="19"/>
  <c r="E773" i="19"/>
  <c r="E774" i="19"/>
  <c r="E775" i="19"/>
  <c r="E776" i="19"/>
  <c r="E779" i="19"/>
  <c r="E780" i="19"/>
  <c r="E781" i="19"/>
  <c r="E782" i="19"/>
  <c r="E783" i="19"/>
  <c r="E787" i="19"/>
  <c r="E788" i="19"/>
  <c r="E789" i="19"/>
  <c r="E790" i="19"/>
  <c r="E796" i="19"/>
  <c r="E797" i="19"/>
  <c r="E798" i="19"/>
  <c r="E799" i="19"/>
  <c r="E800" i="19"/>
  <c r="E801" i="19"/>
  <c r="E802" i="19"/>
  <c r="E806" i="19"/>
  <c r="E807" i="19"/>
  <c r="E808" i="19"/>
  <c r="E809" i="19"/>
  <c r="E810" i="19"/>
  <c r="E604" i="19" l="1"/>
  <c r="D600" i="19"/>
  <c r="E600" i="19" s="1"/>
  <c r="E737" i="19"/>
  <c r="D735" i="19"/>
  <c r="E735" i="19" s="1"/>
  <c r="D664" i="19"/>
  <c r="E664" i="19" s="1"/>
  <c r="I350" i="19"/>
  <c r="J350" i="19" s="1"/>
  <c r="I351" i="19"/>
  <c r="J351" i="19" s="1"/>
  <c r="D463" i="19"/>
  <c r="E463" i="19" s="1"/>
  <c r="D701" i="19"/>
  <c r="E701" i="19" s="1"/>
  <c r="D683" i="19"/>
  <c r="E683" i="19" s="1"/>
  <c r="D223" i="19"/>
  <c r="E223" i="19" s="1"/>
  <c r="D795" i="19"/>
  <c r="E795" i="19" s="1"/>
  <c r="D12" i="19"/>
  <c r="E12" i="19" s="1"/>
  <c r="D468" i="19"/>
  <c r="E468" i="19" s="1"/>
  <c r="D768" i="19"/>
  <c r="E768" i="19" s="1"/>
  <c r="B590" i="19"/>
  <c r="E804" i="19"/>
  <c r="D11" i="19"/>
  <c r="E11" i="19" s="1"/>
  <c r="D376" i="19"/>
  <c r="E376" i="19" s="1"/>
  <c r="D469" i="19"/>
  <c r="E469" i="19" s="1"/>
  <c r="D805" i="19"/>
  <c r="E805" i="19" s="1"/>
  <c r="C278" i="19"/>
  <c r="E30" i="19"/>
  <c r="D22" i="19"/>
  <c r="E22" i="19" s="1"/>
  <c r="D144" i="19"/>
  <c r="D135" i="19" s="1"/>
  <c r="E135" i="19" s="1"/>
  <c r="D479" i="19"/>
  <c r="E479" i="19" s="1"/>
  <c r="D499" i="19"/>
  <c r="E499" i="19" s="1"/>
  <c r="E527" i="19"/>
  <c r="D528" i="19"/>
  <c r="E528" i="19" s="1"/>
  <c r="E813" i="19"/>
  <c r="D626" i="19"/>
  <c r="E626" i="19" s="1"/>
  <c r="E507" i="19"/>
  <c r="D453" i="19"/>
  <c r="E453" i="19" s="1"/>
  <c r="E415" i="19"/>
  <c r="D406" i="19"/>
  <c r="E406" i="19" s="1"/>
  <c r="E405" i="19"/>
  <c r="D396" i="19"/>
  <c r="E396" i="19" s="1"/>
  <c r="E395" i="19"/>
  <c r="D386" i="19"/>
  <c r="E386" i="19" s="1"/>
  <c r="E371" i="19"/>
  <c r="D362" i="19"/>
  <c r="E362" i="19" s="1"/>
  <c r="B352" i="19"/>
  <c r="E361" i="19"/>
  <c r="D352" i="19"/>
  <c r="E193" i="19"/>
  <c r="D184" i="19"/>
  <c r="E184" i="19" s="1"/>
  <c r="E163" i="19"/>
  <c r="D154" i="19"/>
  <c r="E154" i="19" s="1"/>
  <c r="E41" i="19"/>
  <c r="D32" i="19"/>
  <c r="E32" i="19" s="1"/>
  <c r="E794" i="19"/>
  <c r="D786" i="19"/>
  <c r="E786" i="19" s="1"/>
  <c r="E778" i="19"/>
  <c r="D769" i="19"/>
  <c r="E769" i="19" s="1"/>
  <c r="E758" i="19"/>
  <c r="D749" i="19"/>
  <c r="E749" i="19" s="1"/>
  <c r="E748" i="19"/>
  <c r="D739" i="19"/>
  <c r="E739" i="19" s="1"/>
  <c r="E730" i="19"/>
  <c r="D722" i="19"/>
  <c r="E722" i="19" s="1"/>
  <c r="E711" i="19"/>
  <c r="D702" i="19"/>
  <c r="E702" i="19" s="1"/>
  <c r="E693" i="19"/>
  <c r="D684" i="19"/>
  <c r="E684" i="19" s="1"/>
  <c r="E674" i="19"/>
  <c r="D665" i="19"/>
  <c r="E665" i="19" s="1"/>
  <c r="E625" i="19"/>
  <c r="D616" i="19"/>
  <c r="E616" i="19" s="1"/>
  <c r="E599" i="19"/>
  <c r="D590" i="19"/>
  <c r="E589" i="19"/>
  <c r="D580" i="19"/>
  <c r="E580" i="19" s="1"/>
  <c r="E579" i="19"/>
  <c r="D570" i="19"/>
  <c r="E570" i="19" s="1"/>
  <c r="E569" i="19"/>
  <c r="D560" i="19"/>
  <c r="E560" i="19" s="1"/>
  <c r="E559" i="19"/>
  <c r="D551" i="19"/>
  <c r="E551" i="19" s="1"/>
  <c r="E536" i="19"/>
  <c r="D529" i="19"/>
  <c r="E529" i="19" s="1"/>
  <c r="E516" i="19"/>
  <c r="D508" i="19"/>
  <c r="E508" i="19" s="1"/>
  <c r="E498" i="19"/>
  <c r="D489" i="19"/>
  <c r="E489" i="19" s="1"/>
  <c r="E488" i="19"/>
  <c r="E443" i="19"/>
  <c r="D434" i="19"/>
  <c r="E434" i="19" s="1"/>
  <c r="E433" i="19"/>
  <c r="D426" i="19"/>
  <c r="E426" i="19" s="1"/>
  <c r="E425" i="19"/>
  <c r="D416" i="19"/>
  <c r="E416" i="19" s="1"/>
  <c r="E351" i="19"/>
  <c r="D342" i="19"/>
  <c r="E342" i="19" s="1"/>
  <c r="E341" i="19"/>
  <c r="D333" i="19"/>
  <c r="E333" i="19" s="1"/>
  <c r="E332" i="19"/>
  <c r="D323" i="19"/>
  <c r="E323" i="19" s="1"/>
  <c r="E322" i="19"/>
  <c r="D317" i="19"/>
  <c r="E317" i="19" s="1"/>
  <c r="E316" i="19"/>
  <c r="D307" i="19"/>
  <c r="E307" i="19" s="1"/>
  <c r="E306" i="19"/>
  <c r="D297" i="19"/>
  <c r="E297" i="19" s="1"/>
  <c r="E287" i="19"/>
  <c r="D278" i="19"/>
  <c r="E278" i="19" s="1"/>
  <c r="E277" i="19"/>
  <c r="D268" i="19"/>
  <c r="E268" i="19" s="1"/>
  <c r="E267" i="19"/>
  <c r="D258" i="19"/>
  <c r="E258" i="19" s="1"/>
  <c r="E253" i="19"/>
  <c r="D244" i="19"/>
  <c r="E244" i="19" s="1"/>
  <c r="E243" i="19"/>
  <c r="D234" i="19"/>
  <c r="E234" i="19" s="1"/>
  <c r="E233" i="19"/>
  <c r="D224" i="19"/>
  <c r="E224" i="19" s="1"/>
  <c r="E183" i="19"/>
  <c r="D174" i="19"/>
  <c r="E174" i="19" s="1"/>
  <c r="E173" i="19"/>
  <c r="D164" i="19"/>
  <c r="E164" i="19" s="1"/>
  <c r="E153" i="19"/>
  <c r="D145" i="19"/>
  <c r="E145" i="19" s="1"/>
  <c r="E134" i="19"/>
  <c r="D125" i="19"/>
  <c r="E125" i="19" s="1"/>
  <c r="E120" i="19"/>
  <c r="D111" i="19"/>
  <c r="E111" i="19" s="1"/>
  <c r="E97" i="19"/>
  <c r="D88" i="19"/>
  <c r="E88" i="19" s="1"/>
  <c r="E77" i="19"/>
  <c r="D68" i="19"/>
  <c r="E68" i="19" s="1"/>
  <c r="E67" i="19"/>
  <c r="D59" i="19"/>
  <c r="E59" i="19" s="1"/>
  <c r="E58" i="19"/>
  <c r="D49" i="19"/>
  <c r="E49" i="19" s="1"/>
  <c r="E48" i="19"/>
  <c r="D42" i="19"/>
  <c r="E42" i="19" s="1"/>
  <c r="D87" i="19"/>
  <c r="D656" i="19" l="1"/>
  <c r="E656" i="19" s="1"/>
  <c r="D694" i="19"/>
  <c r="E694" i="19" s="1"/>
  <c r="D454" i="19"/>
  <c r="E454" i="19" s="1"/>
  <c r="E590" i="19"/>
  <c r="D2" i="19"/>
  <c r="E2" i="19" s="1"/>
  <c r="D675" i="19"/>
  <c r="E675" i="19" s="1"/>
  <c r="D759" i="19"/>
  <c r="E759" i="19" s="1"/>
  <c r="D214" i="19"/>
  <c r="E214" i="19" s="1"/>
  <c r="D464" i="19"/>
  <c r="E464" i="19" s="1"/>
  <c r="E144" i="19"/>
  <c r="D521" i="19"/>
  <c r="E521" i="19" s="1"/>
  <c r="D444" i="19"/>
  <c r="E444" i="19" s="1"/>
  <c r="E352" i="19"/>
  <c r="E87" i="19"/>
  <c r="D78" i="19"/>
  <c r="E78"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32CE9C-8341-46C7-AC00-8BE193873BD2}" sourceFile="C:\Users\furkan.paltaci\Desktop\2019 TURKUVAZ DAĞITIM NOKTALARI.xlsx" keepAlive="1" name="2019 TURKUVAZ DAĞITIM NOKTALARI" type="5" refreshedVersion="7" background="1">
    <dbPr connection="Provider=Microsoft.ACE.OLEDB.12.0;User ID=Admin;Data Source=C:\Users\furkan.paltaci\Desktop\2019 TURKUVAZ DAĞITIM NOKTALARI.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2019 Turkuvaz Dağıtım$'" commandType="3"/>
  </connection>
  <connection id="2" xr16:uid="{AC58A55D-4682-4EE9-BD91-2C014F780A65}" sourceFile="C:\Users\furkan.paltaci\Desktop\2020 Turkuvaz Dağıtım Noktaları.xlsx" keepAlive="1" name="2020 Turkuvaz Dağıtım Noktaları" type="5" refreshedVersion="7" background="1">
    <dbPr connection="Provider=Microsoft.ACE.OLEDB.12.0;User ID=Admin;Data Source=C:\Users\furkan.paltaci\Desktop\2020 Turkuvaz Dağıtım Noktaları.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ayfa1$" commandType="3"/>
  </connection>
  <connection id="3" xr16:uid="{064B0994-7CD8-4D4A-A0D0-3B2D34CA441B}" sourceFile="C:\Users\furkan.paltaci\Desktop\2021 TURKUVAZ DAĞITIM NOKTALARI.xlsx" keepAlive="1" name="2021 TURKUVAZ DAĞITIM NOKTALARI" type="5" refreshedVersion="7" background="1">
    <dbPr connection="Provider=Microsoft.ACE.OLEDB.12.0;User ID=Admin;Data Source=C:\Users\furkan.paltaci\Desktop\2021 TURKUVAZ DAĞITIM NOKTALARI.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2021 VERİ$'" commandType="3"/>
  </connection>
  <connection id="4" xr16:uid="{AD6E9AFA-2460-46C6-87C2-F0EDEFBE2ED9}" sourceFile="C:\Users\furkan.paltaci\Desktop\analiz turkuaz.xlsx" keepAlive="1" name="analiz turkuaz" type="5" refreshedVersion="7" background="1">
    <dbPr connection="Provider=Microsoft.ACE.OLEDB.12.0;User ID=Admin;Data Source=C:\Users\furkan.paltaci\Desktop\analiz turkuaz.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ayfa3$" commandType="3"/>
  </connection>
  <connection id="5" xr16:uid="{EE20308C-6A87-4D44-96A2-27E8A591F41D}" sourceFile="C:\Users\furkan.paltaci\Desktop\analiz turkuaz.xlsx" keepAlive="1" name="analiz turkuaz1" type="5" refreshedVersion="7" background="1">
    <dbPr connection="Provider=Microsoft.ACE.OLEDB.12.0;User ID=Admin;Data Source=C:\Users\furkan.paltaci\Desktop\analiz turkuaz.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ayfa5$" commandType="3"/>
  </connection>
  <connection id="6" xr16:uid="{715B9C7D-2028-44D9-8E97-B2F1C76402FA}" sourceFile="C:\Users\furkan.paltaci\Desktop\analiz turkuaz.xlsx" keepAlive="1" name="analiz turkuaz2" type="5" refreshedVersion="7" background="1">
    <dbPr connection="Provider=Microsoft.ACE.OLEDB.12.0;User ID=Admin;Data Source=C:\Users\furkan.paltaci\Desktop\analiz turkuaz.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ayfa3$" commandType="3"/>
  </connection>
</connections>
</file>

<file path=xl/sharedStrings.xml><?xml version="1.0" encoding="utf-8"?>
<sst xmlns="http://schemas.openxmlformats.org/spreadsheetml/2006/main" count="442" uniqueCount="198">
  <si>
    <t>Satır Etiketleri</t>
  </si>
  <si>
    <t>A SHOW TEST YILLIGI</t>
  </si>
  <si>
    <t>ALL ABOUT HISTORY</t>
  </si>
  <si>
    <t>ALL ABOUT SPACE</t>
  </si>
  <si>
    <t>ARKEO ATLAS</t>
  </si>
  <si>
    <t>ASTROLOJI</t>
  </si>
  <si>
    <t>ATLAS</t>
  </si>
  <si>
    <t>ATLAS ISTANBUL</t>
  </si>
  <si>
    <t>ATLAS TARIH</t>
  </si>
  <si>
    <t>ATLAS TATIL</t>
  </si>
  <si>
    <t>AUTO SHOW</t>
  </si>
  <si>
    <t>AUTOSHOW 4X4 REHBER</t>
  </si>
  <si>
    <t>BEST OF ISTANBUL</t>
  </si>
  <si>
    <t>BLUE JEAN</t>
  </si>
  <si>
    <t>BRIDES</t>
  </si>
  <si>
    <t>BUNDLE</t>
  </si>
  <si>
    <t>BURDA</t>
  </si>
  <si>
    <t>BURDA BUYUK BEDEN</t>
  </si>
  <si>
    <t>BURDA COCUK</t>
  </si>
  <si>
    <t>BURDA HOBI</t>
  </si>
  <si>
    <t>BURDA ORGU</t>
  </si>
  <si>
    <t>BURDA PRATIK DIKIS</t>
  </si>
  <si>
    <t>BUSINESS LEADERS</t>
  </si>
  <si>
    <t>CAPITAL</t>
  </si>
  <si>
    <t>CEO LIFE</t>
  </si>
  <si>
    <t>CHIP</t>
  </si>
  <si>
    <t>EKONOMIST</t>
  </si>
  <si>
    <t>ELELE</t>
  </si>
  <si>
    <t>ELLE</t>
  </si>
  <si>
    <t>ELLE DECO.SELECTIONS</t>
  </si>
  <si>
    <t>ELLE DECORATION</t>
  </si>
  <si>
    <t>ELLE LUX</t>
  </si>
  <si>
    <t>ELLE MAN</t>
  </si>
  <si>
    <t>ELLE ON THE BEACH</t>
  </si>
  <si>
    <t>EV BAHCE RUYA BAHCELER</t>
  </si>
  <si>
    <t>EVIM</t>
  </si>
  <si>
    <t>FORM SANTE</t>
  </si>
  <si>
    <t>FOTO ATLAS</t>
  </si>
  <si>
    <t>GUNCEL HUKUK</t>
  </si>
  <si>
    <t>HELLO</t>
  </si>
  <si>
    <t>HELLO FASHION</t>
  </si>
  <si>
    <t>HEY GIRL</t>
  </si>
  <si>
    <t>HEY GIRL KIS KEYFI</t>
  </si>
  <si>
    <t>HEY GIRL YAZ KEYFI</t>
  </si>
  <si>
    <t>HISTORY OF WAR</t>
  </si>
  <si>
    <t>HOW IT WORKS</t>
  </si>
  <si>
    <t>ISTANBUL LIFE</t>
  </si>
  <si>
    <t>KARTAL GOZ</t>
  </si>
  <si>
    <t>KPOP BAND</t>
  </si>
  <si>
    <t>LEVEL</t>
  </si>
  <si>
    <t>LEZZET</t>
  </si>
  <si>
    <t>MAISON FRANCAISE</t>
  </si>
  <si>
    <t>MF BANYO MUTFAK</t>
  </si>
  <si>
    <t>MF EMLAK</t>
  </si>
  <si>
    <t>OZEL ALL ABOUT HISTORY</t>
  </si>
  <si>
    <t>OZEL ALL ABOUT SPACE</t>
  </si>
  <si>
    <t>OZEL AUTO SHOW</t>
  </si>
  <si>
    <t>OZEL BLUEJEAN</t>
  </si>
  <si>
    <t>OZEL BURDA</t>
  </si>
  <si>
    <t>OZEL EVIM</t>
  </si>
  <si>
    <t>OZEL FORM SANTE</t>
  </si>
  <si>
    <t>OZEL HELLO</t>
  </si>
  <si>
    <t>OZEL HISTORY OF WAR</t>
  </si>
  <si>
    <t>OZEL HOW IT WORKS</t>
  </si>
  <si>
    <t>OZEL LEVEL</t>
  </si>
  <si>
    <t>OZEL LEZZET</t>
  </si>
  <si>
    <t>OZEL MAISON FRANCAISE</t>
  </si>
  <si>
    <t>OZEL PC NET</t>
  </si>
  <si>
    <t>OZEL TEMPO</t>
  </si>
  <si>
    <t>POP UP</t>
  </si>
  <si>
    <t>POPULAR SCIENCE</t>
  </si>
  <si>
    <t>POPULAR SCIENCE COCUK</t>
  </si>
  <si>
    <t>POZITIF YASAM</t>
  </si>
  <si>
    <t>SCIENCE NATURE</t>
  </si>
  <si>
    <t>SIMARTAN TATLAR</t>
  </si>
  <si>
    <t>TEMPO</t>
  </si>
  <si>
    <t>TEMPO DOLCE VITA</t>
  </si>
  <si>
    <t>TEMPO GADGET</t>
  </si>
  <si>
    <t>TEMPO TRAVEL</t>
  </si>
  <si>
    <t>TEMPO TRAVEL ALMANCA</t>
  </si>
  <si>
    <t>TEMPO TRAVEL RUSCA</t>
  </si>
  <si>
    <t>YACHT TURKIYE</t>
  </si>
  <si>
    <t>YESIL ATLAS</t>
  </si>
  <si>
    <t>OZEL BLUE JEAN</t>
  </si>
  <si>
    <t>OZEL POPULAR SCIENCE</t>
  </si>
  <si>
    <t>SMARTAN TATLAR</t>
  </si>
  <si>
    <t>Toplam Toplam Net</t>
  </si>
  <si>
    <t>Toplam Toplam İade</t>
  </si>
  <si>
    <t>Toplam Toplam Sevk</t>
  </si>
  <si>
    <t>Başarı Oranı</t>
  </si>
  <si>
    <t>BBC HISTORY</t>
  </si>
  <si>
    <t>BILIM KOLEKSIYONU</t>
  </si>
  <si>
    <t>COCUK KOLEKSIYONU</t>
  </si>
  <si>
    <t>OYUN KOLEKSIYONU</t>
  </si>
  <si>
    <t>TARIH KOLEKSIYONU</t>
  </si>
  <si>
    <t>EVIM Dergisi için Tahmin.Doğrusal fonksiyonun nasıl çalıştığına bakalım.</t>
  </si>
  <si>
    <t>1.Adım</t>
  </si>
  <si>
    <t>Verileri inceleyelim</t>
  </si>
  <si>
    <t>2019: 236.963</t>
  </si>
  <si>
    <t>2020: 263.174</t>
  </si>
  <si>
    <t>2021: 240.734</t>
  </si>
  <si>
    <t>2022: 210.980</t>
  </si>
  <si>
    <t>2023: 147.777</t>
  </si>
  <si>
    <t>2024: 108.487</t>
  </si>
  <si>
    <t>2025: 89.532</t>
  </si>
  <si>
    <t>2. Adım</t>
  </si>
  <si>
    <t>Yılların ve satışların ortalamasını bulalım</t>
  </si>
  <si>
    <t>X^ = 2019 + 2020 + 2021 + 2022 + 2023 + 2024 + 2025) / 7 = 2022</t>
  </si>
  <si>
    <t>Y^ =1.297.647 adet / 7 yıl = 185.378,14</t>
  </si>
  <si>
    <t>Adım 3</t>
  </si>
  <si>
    <t>Her bir satışın ortalama satıştan farkını hesaplayacağız.</t>
  </si>
  <si>
    <t>Adım 4</t>
  </si>
  <si>
    <t>Adım 5</t>
  </si>
  <si>
    <t>Toplam</t>
  </si>
  <si>
    <t>Yıl</t>
  </si>
  <si>
    <t>Yıl Farkı</t>
  </si>
  <si>
    <t>Sevk Adedi</t>
  </si>
  <si>
    <t>Sevk Farkı</t>
  </si>
  <si>
    <t>Çarpımları</t>
  </si>
  <si>
    <t>Yıl Farkının karesi</t>
  </si>
  <si>
    <t>Eğim = -844.624 / 28 = -30.165,14</t>
  </si>
  <si>
    <t>Eğimimiz negatif olduğu için trendimiz azalan olucak</t>
  </si>
  <si>
    <t>Tahminde kullanacağımız formül ortalama sevk sayısından  yılın eğim ile çarpılmış halini çıkararak bulunur.</t>
  </si>
  <si>
    <t>Formülü deneyelim</t>
  </si>
  <si>
    <t>Tahmin = Ortalama Sevk + [ Eğim x (Tahmin Edilen Yıl - Ortalama Yıl) ]</t>
  </si>
  <si>
    <t>2026 Tahmini = 185.378 + [ -30.165 x (2026 - 2022) ]  =  64.718</t>
  </si>
  <si>
    <t>2026-2027 Dergi Satış Tahminleri</t>
  </si>
  <si>
    <t>-</t>
  </si>
  <si>
    <t>Toplam İade</t>
  </si>
  <si>
    <t>Toplam net</t>
  </si>
  <si>
    <t>Başarı oranı</t>
  </si>
  <si>
    <t>Toplam sevk</t>
  </si>
  <si>
    <t>Toplam iade</t>
  </si>
  <si>
    <t>Toplam Sevk</t>
  </si>
  <si>
    <t>Toplam Net</t>
  </si>
  <si>
    <t>Sektörel/Mesleki</t>
  </si>
  <si>
    <t>Diğerleri</t>
  </si>
  <si>
    <t xml:space="preserve"> </t>
  </si>
  <si>
    <t xml:space="preserve">Toplam Sevk </t>
  </si>
  <si>
    <t xml:space="preserve">Formül= 2025 Verileri *[ (2026 Ulusal tiraj / 2025 Ulusal Tiraj) + (2026 Kategori yüzdesi / 2025 yüzdesi ) * 0,5]       </t>
  </si>
  <si>
    <t>Veri setinde başlangıç aşamasında Doğrusal Regresyon uygulanmıştır. Ancak bazı pazar verilerindeki ani dalgalanmalar modelin matematiksel olarak negatif sonuçlar üretmesine neden olmuştur.Bu tarz durumlar için  alt taraftaki tahminlemede ulusal dergi trendini ve dergi segment trendini eş ağırlık katsayısıyla kullandım.  Formül= 2025 Verileri *[ (2026 Ulusal tiraj / 2025 Ulusal Tiraj) + (2026 Kategori yüzdesi / 2025 Kategori yüzdesi ) * 0,5]                                                          *Dergi kategorileri TÜİK verilerinden yola çıkarak belirlenmiştir.</t>
  </si>
  <si>
    <t>Ulusal Sektör Trendi — Kategori Pazar Payları (TÜİK)</t>
  </si>
  <si>
    <t>Yıllık Kategori Pazar Payları</t>
  </si>
  <si>
    <t>Siyasi/Haber</t>
  </si>
  <si>
    <t>Kültür/Turizm</t>
  </si>
  <si>
    <t>Ekonomi/Finans</t>
  </si>
  <si>
    <t>Not</t>
  </si>
  <si>
    <t>CAGR tahmini</t>
  </si>
  <si>
    <t>Başl. \ Bitiş</t>
  </si>
  <si>
    <t>2019</t>
  </si>
  <si>
    <t>2020</t>
  </si>
  <si>
    <t>2021</t>
  </si>
  <si>
    <t>2022</t>
  </si>
  <si>
    <t>2023</t>
  </si>
  <si>
    <t>2024</t>
  </si>
  <si>
    <t>2025</t>
  </si>
  <si>
    <t>2026</t>
  </si>
  <si>
    <t>2027</t>
  </si>
  <si>
    <t>—</t>
  </si>
  <si>
    <t>Toplam Dergi</t>
  </si>
  <si>
    <t>Ulusal Üretim 2024</t>
  </si>
  <si>
    <t>Ulusal 2027 Tahmini</t>
  </si>
  <si>
    <t>~18,3M</t>
  </si>
  <si>
    <t>~10,7M</t>
  </si>
  <si>
    <t>29,3M</t>
  </si>
  <si>
    <t>1,4M</t>
  </si>
  <si>
    <t>#</t>
  </si>
  <si>
    <t>Dergi Adı</t>
  </si>
  <si>
    <t>EVİM</t>
  </si>
  <si>
    <t>EKONOMİST</t>
  </si>
  <si>
    <t>ÖZEL BLUEJEAN</t>
  </si>
  <si>
    <t>HEY GIRL YAZ KEYFİ</t>
  </si>
  <si>
    <t>Türkiye Geneli Dergi Üretim Trendi (TÜİK)</t>
  </si>
  <si>
    <t>Yıllık Üretim Verileri</t>
  </si>
  <si>
    <t>Üretim Adedi</t>
  </si>
  <si>
    <t>Önceki Yıla Değişim</t>
  </si>
  <si>
    <t>Açıklama</t>
  </si>
  <si>
    <t>Lineer regresyon tahmini</t>
  </si>
  <si>
    <t>Siyasi/Haber — Oran Matrisi  (Hücre = Sütun Yılı ÷ Satır Yılı)</t>
  </si>
  <si>
    <t>Sektörel/Mesleki — Oran Matrisi  (Hücre = Sütun Yılı ÷ Satır Yılı)</t>
  </si>
  <si>
    <t>Kültür/Turizm — Oran Matrisi  (Hücre = Sütun Yılı ÷ Satır Yılı)</t>
  </si>
  <si>
    <t>Ekonomi/Finans — Oran Matrisi  (Hücre = Sütun Yılı ÷ Satır Yılı)</t>
  </si>
  <si>
    <t>Diğerleri — Oran Matrisi  (Hücre = Sütun Yılı ÷ Satır Yılı)</t>
  </si>
  <si>
    <t>Yıllar Arası Üretim Oran Matrisi  —  Hücre = Sütun Yılı ÷ Satır Yılı  (örn. 2026/2021 = %21,7)</t>
  </si>
  <si>
    <t xml:space="preserve"> Formül= 2025 Verileri *[ (2026 Ulusal tiraj / 2025 Ulusal Tiraj) + (2026 Kategori yüzdesi / 2025 yüzdesi ) * 0,5]      </t>
  </si>
  <si>
    <t xml:space="preserve">Formül= 2025 Verileri *[ (2026 Ulusal tiraj / 2025 Ulusal Tiraj) + (2026 Kategori yüzdesi / 2025 yüzdesi ) * 0,5]     </t>
  </si>
  <si>
    <t xml:space="preserve">    Formül= 2025 Verileri *[ (2026 Ulusal tiraj / 2025 Ulusal Tiraj) + (2026 Kategori yüzdesi / 2025 yüzdesi ) * 0,5]      </t>
  </si>
  <si>
    <t>Kaynakça : TÜİK SÜRELİ YAYIN İSTATİSTİKLERİ</t>
  </si>
  <si>
    <t>https://veriportali.tuik.gov.tr/tr/press/57928</t>
  </si>
  <si>
    <t>https://veriportali.tuik.gov.tr/tr/press/53810</t>
  </si>
  <si>
    <t>https://veriportali.tuik.gov.tr/tr/press/57928/metadata</t>
  </si>
  <si>
    <t xml:space="preserve">2019–2027 </t>
  </si>
  <si>
    <t>DERGİ SATIŞ ANALİZİ</t>
  </si>
  <si>
    <t>Net Sevk</t>
  </si>
  <si>
    <t xml:space="preserve">                                                                                                                                             </t>
  </si>
  <si>
    <t>Toplam Net Sevk</t>
  </si>
  <si>
    <t xml:space="preserve">EN ÇOK TİRAJ İLK 10 DERGİ </t>
  </si>
  <si>
    <t xml:space="preserve">Yayıncılık pazarında son yıllarda yaşanan keskin dalgalanmalar ve sert düşüşler, standart matematiksel modellerin geleceği öngörmesini zorlaştırmıştır. Bu belirsizliği aşmak amacıyla geliştirdiğimiz hibrit model, ulusal tiraj trendlerini kategori bazlı değişimlerle harmanlayarak operasyonel risklerimizi daha net görmemizi sağlamaktadır. Eldeki veriler; siyaset, haber ve ekonomi içerikli yayınların fiziksel baskıda artık ekonomik ömrünü tamamladığını, buna karşılık pazarın %98,23'lük devasa bir kısmının hobi, bilim ve yaşam tarzı odaklı "deneyim" yayıncılığına kaydığını göstermektedir.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</si>
</sst>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2" x14ac:knownFonts="1">
    <font>
      <sz val="11"/>
      <color theme="1"/>
      <name val="Calibri"/>
      <family val="2"/>
      <scheme val="minor"/>
    </font>
    <font>
      <sz val="11"/>
      <color theme="1"/>
      <name val="Calibri"/>
      <family val="2"/>
      <scheme val="minor"/>
    </font>
    <font>
      <b/>
      <sz val="11"/>
      <color theme="1"/>
      <name val="Calibri"/>
      <family val="2"/>
      <charset val="162"/>
      <scheme val="minor"/>
    </font>
    <font>
      <sz val="8"/>
      <name val="Calibri"/>
      <family val="2"/>
      <scheme val="minor"/>
    </font>
    <font>
      <sz val="10"/>
      <color theme="1"/>
      <name val="Arial"/>
      <family val="2"/>
      <charset val="162"/>
    </font>
    <font>
      <sz val="11"/>
      <color theme="2" tint="-0.89999084444715716"/>
      <name val="Calibri"/>
      <family val="2"/>
      <scheme val="minor"/>
    </font>
    <font>
      <b/>
      <sz val="13"/>
      <color rgb="FFFFFFFF"/>
      <name val="Calibri"/>
      <family val="2"/>
      <charset val="162"/>
    </font>
    <font>
      <b/>
      <sz val="11"/>
      <color rgb="FFFFFFFF"/>
      <name val="Calibri"/>
      <family val="2"/>
      <charset val="162"/>
    </font>
    <font>
      <sz val="11"/>
      <color rgb="FF000000"/>
      <name val="Calibri"/>
      <family val="2"/>
      <charset val="162"/>
    </font>
    <font>
      <sz val="11"/>
      <color rgb="FF666666"/>
      <name val="Calibri"/>
      <family val="2"/>
      <charset val="162"/>
    </font>
    <font>
      <i/>
      <sz val="11"/>
      <color rgb="FF000000"/>
      <name val="Calibri"/>
      <family val="2"/>
      <charset val="162"/>
    </font>
    <font>
      <i/>
      <sz val="11"/>
      <color rgb="FF666666"/>
      <name val="Calibri"/>
      <family val="2"/>
      <charset val="162"/>
    </font>
    <font>
      <b/>
      <sz val="11"/>
      <color rgb="FF9C5700"/>
      <name val="Calibri"/>
      <family val="2"/>
      <charset val="162"/>
    </font>
    <font>
      <b/>
      <sz val="11"/>
      <color rgb="FF9C0006"/>
      <name val="Calibri"/>
      <family val="2"/>
      <charset val="162"/>
    </font>
    <font>
      <b/>
      <sz val="11"/>
      <color rgb="FF276221"/>
      <name val="Calibri"/>
      <family val="2"/>
      <charset val="162"/>
    </font>
    <font>
      <b/>
      <sz val="15"/>
      <color rgb="FFFFFFFF"/>
      <name val="Calibri"/>
      <family val="2"/>
      <charset val="162"/>
    </font>
    <font>
      <b/>
      <sz val="10"/>
      <name val="Calibri"/>
      <family val="2"/>
      <charset val="162"/>
    </font>
    <font>
      <b/>
      <sz val="14"/>
      <color rgb="FF1F4E79"/>
      <name val="Calibri"/>
      <family val="2"/>
      <charset val="162"/>
    </font>
    <font>
      <i/>
      <sz val="9"/>
      <color rgb="FF595959"/>
      <name val="Calibri"/>
      <family val="2"/>
      <charset val="162"/>
    </font>
    <font>
      <b/>
      <sz val="12"/>
      <color rgb="FFFFFFFF"/>
      <name val="Calibri"/>
      <family val="2"/>
      <charset val="162"/>
    </font>
    <font>
      <u/>
      <sz val="11"/>
      <color theme="10"/>
      <name val="Calibri"/>
      <family val="2"/>
      <scheme val="minor"/>
    </font>
    <font>
      <sz val="10"/>
      <color theme="1"/>
      <name val="Calibri"/>
      <family val="2"/>
      <scheme val="minor"/>
    </font>
  </fonts>
  <fills count="17">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1F4E79"/>
      </patternFill>
    </fill>
    <fill>
      <patternFill patternType="solid">
        <fgColor rgb="FF107C41"/>
      </patternFill>
    </fill>
    <fill>
      <patternFill patternType="solid">
        <fgColor rgb="FFF2F9F5"/>
      </patternFill>
    </fill>
    <fill>
      <patternFill patternType="solid">
        <fgColor rgb="FF375623"/>
      </patternFill>
    </fill>
    <fill>
      <patternFill patternType="solid">
        <fgColor rgb="FF1A5C34"/>
      </patternFill>
    </fill>
    <fill>
      <patternFill patternType="solid">
        <fgColor rgb="FFD9D9D9"/>
      </patternFill>
    </fill>
    <fill>
      <patternFill patternType="solid">
        <fgColor rgb="FF833C00"/>
      </patternFill>
    </fill>
    <fill>
      <patternFill patternType="solid">
        <fgColor rgb="FFD9E1F2"/>
      </patternFill>
    </fill>
    <fill>
      <patternFill patternType="solid">
        <fgColor rgb="FFEBF5FB"/>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CCCCCC"/>
      </left>
      <right style="medium">
        <color rgb="FFCCCCCC"/>
      </right>
      <top style="medium">
        <color rgb="FFCCCCCC"/>
      </top>
      <bottom style="medium">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0" fontId="20" fillId="0" borderId="0" applyNumberFormat="0" applyFill="0" applyBorder="0" applyAlignment="0" applyProtection="0"/>
  </cellStyleXfs>
  <cellXfs count="84">
    <xf numFmtId="0" fontId="0" fillId="0" borderId="0" xfId="0"/>
    <xf numFmtId="9" fontId="0" fillId="0" borderId="0" xfId="1" applyFont="1"/>
    <xf numFmtId="164" fontId="0" fillId="0" borderId="0" xfId="2" applyNumberFormat="1" applyFont="1"/>
    <xf numFmtId="0" fontId="2" fillId="0" borderId="0" xfId="0" applyFont="1"/>
    <xf numFmtId="164" fontId="2" fillId="0" borderId="0" xfId="2" applyNumberFormat="1" applyFont="1"/>
    <xf numFmtId="9" fontId="2" fillId="0" borderId="0" xfId="1" applyFont="1"/>
    <xf numFmtId="0" fontId="0" fillId="2" borderId="0" xfId="0" applyFill="1"/>
    <xf numFmtId="164" fontId="0" fillId="2" borderId="0" xfId="2" applyNumberFormat="1" applyFont="1" applyFill="1"/>
    <xf numFmtId="0" fontId="0" fillId="0" borderId="0" xfId="0" applyAlignment="1">
      <alignment horizontal="center"/>
    </xf>
    <xf numFmtId="0" fontId="4" fillId="0" borderId="9" xfId="0" applyFont="1" applyBorder="1" applyAlignment="1">
      <alignment horizontal="right" wrapText="1"/>
    </xf>
    <xf numFmtId="3" fontId="4" fillId="0" borderId="9" xfId="0" applyNumberFormat="1" applyFont="1" applyBorder="1" applyAlignment="1">
      <alignment horizontal="right" wrapText="1"/>
    </xf>
    <xf numFmtId="4" fontId="4" fillId="0" borderId="9" xfId="0" applyNumberFormat="1" applyFont="1" applyBorder="1" applyAlignment="1">
      <alignment horizontal="right" wrapText="1"/>
    </xf>
    <xf numFmtId="0" fontId="4" fillId="0" borderId="9" xfId="0" applyFont="1" applyBorder="1" applyAlignment="1">
      <alignment wrapText="1"/>
    </xf>
    <xf numFmtId="0" fontId="0" fillId="3" borderId="0" xfId="0" applyFill="1"/>
    <xf numFmtId="164" fontId="0" fillId="3" borderId="0" xfId="2" applyNumberFormat="1" applyFont="1" applyFill="1"/>
    <xf numFmtId="9" fontId="0" fillId="3" borderId="0" xfId="1" applyFont="1" applyFill="1"/>
    <xf numFmtId="3" fontId="0" fillId="0" borderId="0" xfId="0" applyNumberFormat="1"/>
    <xf numFmtId="164" fontId="5" fillId="0" borderId="0" xfId="2" applyNumberFormat="1" applyFont="1"/>
    <xf numFmtId="0" fontId="0" fillId="0" borderId="0" xfId="2" applyNumberFormat="1" applyFont="1"/>
    <xf numFmtId="0" fontId="0" fillId="0" borderId="0" xfId="0" applyAlignment="1">
      <alignment vertical="center" wrapText="1"/>
    </xf>
    <xf numFmtId="164" fontId="0" fillId="0" borderId="0" xfId="0" applyNumberFormat="1"/>
    <xf numFmtId="164" fontId="0" fillId="0" borderId="0" xfId="0" applyNumberFormat="1" applyAlignment="1">
      <alignment vertical="center" wrapText="1"/>
    </xf>
    <xf numFmtId="9" fontId="0" fillId="0" borderId="0" xfId="1" applyFont="1" applyAlignment="1">
      <alignment vertical="center" wrapText="1"/>
    </xf>
    <xf numFmtId="0" fontId="7" fillId="9" borderId="10" xfId="0" applyFont="1" applyFill="1" applyBorder="1" applyAlignment="1">
      <alignment horizontal="center" vertical="center"/>
    </xf>
    <xf numFmtId="0" fontId="8" fillId="0" borderId="10" xfId="0" applyFont="1" applyBorder="1" applyAlignment="1">
      <alignment horizontal="center" vertical="center"/>
    </xf>
    <xf numFmtId="165" fontId="8" fillId="0" borderId="10" xfId="0" applyNumberFormat="1" applyFont="1" applyBorder="1" applyAlignment="1">
      <alignment horizontal="right" vertical="center"/>
    </xf>
    <xf numFmtId="0" fontId="9" fillId="0" borderId="10" xfId="0" applyFont="1" applyBorder="1" applyAlignment="1">
      <alignment horizontal="left" vertical="center"/>
    </xf>
    <xf numFmtId="0" fontId="8" fillId="10" borderId="10" xfId="0" applyFont="1" applyFill="1" applyBorder="1" applyAlignment="1">
      <alignment horizontal="center" vertical="center"/>
    </xf>
    <xf numFmtId="165" fontId="8" fillId="10" borderId="10" xfId="0" applyNumberFormat="1" applyFont="1" applyFill="1" applyBorder="1" applyAlignment="1">
      <alignment horizontal="right" vertical="center"/>
    </xf>
    <xf numFmtId="0" fontId="9" fillId="10" borderId="10" xfId="0" applyFont="1" applyFill="1" applyBorder="1" applyAlignment="1">
      <alignment horizontal="left" vertical="center"/>
    </xf>
    <xf numFmtId="165" fontId="8" fillId="6" borderId="10" xfId="0" applyNumberFormat="1" applyFont="1" applyFill="1" applyBorder="1" applyAlignment="1">
      <alignment horizontal="right" vertical="center"/>
    </xf>
    <xf numFmtId="165" fontId="8" fillId="7" borderId="10" xfId="0" applyNumberFormat="1" applyFont="1" applyFill="1" applyBorder="1" applyAlignment="1">
      <alignment horizontal="right" vertical="center"/>
    </xf>
    <xf numFmtId="0" fontId="10" fillId="0" borderId="10" xfId="0" applyFont="1" applyBorder="1" applyAlignment="1">
      <alignment horizontal="center" vertical="center"/>
    </xf>
    <xf numFmtId="165" fontId="10" fillId="6" borderId="10" xfId="0" applyNumberFormat="1" applyFont="1" applyFill="1" applyBorder="1" applyAlignment="1">
      <alignment horizontal="right" vertical="center"/>
    </xf>
    <xf numFmtId="165" fontId="10" fillId="7" borderId="10" xfId="0" applyNumberFormat="1" applyFont="1" applyFill="1" applyBorder="1" applyAlignment="1">
      <alignment horizontal="right" vertical="center"/>
    </xf>
    <xf numFmtId="0" fontId="11" fillId="0" borderId="10" xfId="0" applyFont="1" applyBorder="1" applyAlignment="1">
      <alignment horizontal="left" vertical="center"/>
    </xf>
    <xf numFmtId="0" fontId="10" fillId="10" borderId="10" xfId="0" applyFont="1" applyFill="1" applyBorder="1" applyAlignment="1">
      <alignment horizontal="center" vertical="center"/>
    </xf>
    <xf numFmtId="0" fontId="11" fillId="10" borderId="10" xfId="0" applyFont="1" applyFill="1" applyBorder="1" applyAlignment="1">
      <alignment horizontal="left" vertical="center"/>
    </xf>
    <xf numFmtId="0" fontId="7" fillId="11" borderId="10" xfId="0" applyFont="1" applyFill="1" applyBorder="1" applyAlignment="1">
      <alignment horizontal="center" vertical="center"/>
    </xf>
    <xf numFmtId="0" fontId="7" fillId="12" borderId="10" xfId="0" applyFont="1" applyFill="1" applyBorder="1" applyAlignment="1">
      <alignment horizontal="center" vertical="center"/>
    </xf>
    <xf numFmtId="0" fontId="0" fillId="13" borderId="10" xfId="0" applyFill="1" applyBorder="1" applyAlignment="1">
      <alignment horizontal="center" vertical="center"/>
    </xf>
    <xf numFmtId="0" fontId="0" fillId="13" borderId="10" xfId="0" applyFill="1" applyBorder="1"/>
    <xf numFmtId="0" fontId="16" fillId="15" borderId="10" xfId="0" applyFont="1" applyFill="1" applyBorder="1" applyAlignment="1">
      <alignment horizontal="center" vertical="center"/>
    </xf>
    <xf numFmtId="0" fontId="17" fillId="16" borderId="10" xfId="0" applyFont="1" applyFill="1" applyBorder="1" applyAlignment="1">
      <alignment horizontal="center" vertical="center"/>
    </xf>
    <xf numFmtId="0" fontId="18" fillId="0" borderId="10" xfId="0" applyFont="1" applyBorder="1" applyAlignment="1">
      <alignment horizontal="center" vertical="center"/>
    </xf>
    <xf numFmtId="0" fontId="8" fillId="0" borderId="10" xfId="0" applyFont="1" applyBorder="1" applyAlignment="1">
      <alignment horizontal="left" vertical="center"/>
    </xf>
    <xf numFmtId="3" fontId="8" fillId="0" borderId="10" xfId="0" applyNumberFormat="1" applyFont="1" applyBorder="1" applyAlignment="1">
      <alignment horizontal="right" vertical="center"/>
    </xf>
    <xf numFmtId="165" fontId="12" fillId="7" borderId="10" xfId="0" applyNumberFormat="1" applyFont="1" applyFill="1" applyBorder="1" applyAlignment="1">
      <alignment horizontal="right" vertical="center"/>
    </xf>
    <xf numFmtId="0" fontId="8" fillId="10" borderId="10" xfId="0" applyFont="1" applyFill="1" applyBorder="1" applyAlignment="1">
      <alignment horizontal="left" vertical="center"/>
    </xf>
    <xf numFmtId="3" fontId="8" fillId="10" borderId="10" xfId="0" applyNumberFormat="1" applyFont="1" applyFill="1" applyBorder="1" applyAlignment="1">
      <alignment horizontal="right" vertical="center"/>
    </xf>
    <xf numFmtId="165" fontId="14" fillId="5" borderId="10" xfId="0" applyNumberFormat="1" applyFont="1" applyFill="1" applyBorder="1" applyAlignment="1">
      <alignment horizontal="right" vertical="center"/>
    </xf>
    <xf numFmtId="3" fontId="10" fillId="0" borderId="10" xfId="0" applyNumberFormat="1" applyFont="1" applyBorder="1" applyAlignment="1">
      <alignment horizontal="right" vertical="center"/>
    </xf>
    <xf numFmtId="3" fontId="10" fillId="10" borderId="10" xfId="0" applyNumberFormat="1" applyFont="1" applyFill="1" applyBorder="1" applyAlignment="1">
      <alignment horizontal="right" vertical="center"/>
    </xf>
    <xf numFmtId="165" fontId="13" fillId="6" borderId="10" xfId="0" applyNumberFormat="1" applyFont="1" applyFill="1" applyBorder="1" applyAlignment="1">
      <alignment horizontal="right" vertical="center"/>
    </xf>
    <xf numFmtId="0" fontId="0" fillId="0" borderId="0" xfId="0" applyAlignment="1">
      <alignment vertical="center"/>
    </xf>
    <xf numFmtId="0" fontId="20" fillId="0" borderId="0" xfId="3"/>
    <xf numFmtId="165" fontId="12" fillId="7" borderId="10" xfId="0" applyNumberFormat="1" applyFont="1" applyFill="1" applyBorder="1" applyAlignment="1">
      <alignment horizontal="center" vertical="center"/>
    </xf>
    <xf numFmtId="165" fontId="14" fillId="5" borderId="10" xfId="0" applyNumberFormat="1" applyFont="1" applyFill="1" applyBorder="1" applyAlignment="1">
      <alignment horizontal="center" vertical="center"/>
    </xf>
    <xf numFmtId="3" fontId="12" fillId="7" borderId="10" xfId="0" applyNumberFormat="1" applyFont="1" applyFill="1" applyBorder="1" applyAlignment="1">
      <alignment horizontal="center" vertical="center"/>
    </xf>
    <xf numFmtId="3" fontId="14" fillId="5" borderId="10" xfId="0" applyNumberFormat="1" applyFont="1" applyFill="1" applyBorder="1" applyAlignment="1">
      <alignment horizontal="center" vertical="center"/>
    </xf>
    <xf numFmtId="0" fontId="21" fillId="0" borderId="0" xfId="0" applyFont="1" applyAlignment="1">
      <alignment vertical="center" wrapText="1"/>
    </xf>
    <xf numFmtId="0" fontId="21" fillId="0" borderId="0" xfId="0" applyFont="1" applyAlignment="1">
      <alignment vertical="center"/>
    </xf>
    <xf numFmtId="0" fontId="21" fillId="0" borderId="0" xfId="0" applyFont="1" applyAlignment="1">
      <alignment horizontal="center" vertical="center" wrapText="1"/>
    </xf>
    <xf numFmtId="0" fontId="0" fillId="0" borderId="0" xfId="0" applyAlignment="1">
      <alignment horizontal="center" vertical="center"/>
    </xf>
    <xf numFmtId="0" fontId="19" fillId="9" borderId="11" xfId="0" applyFont="1" applyFill="1" applyBorder="1" applyAlignment="1">
      <alignment horizontal="center" vertical="center"/>
    </xf>
    <xf numFmtId="0" fontId="0" fillId="0" borderId="0" xfId="0" applyAlignment="1">
      <alignment horizontal="center"/>
    </xf>
    <xf numFmtId="0" fontId="15" fillId="8" borderId="0" xfId="0" applyFont="1" applyFill="1" applyAlignment="1">
      <alignment horizontal="center" vertical="center"/>
    </xf>
    <xf numFmtId="0" fontId="0" fillId="0" borderId="0" xfId="0"/>
    <xf numFmtId="0" fontId="0" fillId="0" borderId="0" xfId="0" applyAlignment="1">
      <alignment horizontal="center" vertical="center" wrapText="1"/>
    </xf>
    <xf numFmtId="0" fontId="2" fillId="0" borderId="0" xfId="0" applyFont="1" applyAlignment="1">
      <alignment horizontal="center"/>
    </xf>
    <xf numFmtId="0" fontId="0" fillId="4" borderId="0" xfId="0" applyFill="1" applyAlignment="1">
      <alignment horizontal="center" vertical="center" wrapText="1"/>
    </xf>
    <xf numFmtId="0" fontId="0" fillId="0" borderId="0" xfId="0" applyAlignment="1">
      <alignment horizontal="center" vertical="top" wrapText="1"/>
    </xf>
    <xf numFmtId="0" fontId="0" fillId="0" borderId="0" xfId="0" applyAlignment="1">
      <alignment horizontal="center" wrapText="1"/>
    </xf>
    <xf numFmtId="0" fontId="6" fillId="8" borderId="0" xfId="0" applyFont="1" applyFill="1" applyAlignment="1">
      <alignment horizontal="center" vertical="center"/>
    </xf>
    <xf numFmtId="0" fontId="7" fillId="9" borderId="0" xfId="0" applyFont="1" applyFill="1" applyAlignment="1">
      <alignment horizontal="center" vertical="center"/>
    </xf>
    <xf numFmtId="0" fontId="7" fillId="14" borderId="0" xfId="0" applyFont="1" applyFill="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cellXfs>
  <cellStyles count="4">
    <cellStyle name="Köprü" xfId="3" builtinId="8"/>
    <cellStyle name="Normal" xfId="0" builtinId="0"/>
    <cellStyle name="Virgül" xfId="2" builtinId="3"/>
    <cellStyle name="Yüzd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Ulusal_Sekt&#246;r_Trend!A1"/><Relationship Id="rId2" Type="http://schemas.openxmlformats.org/officeDocument/2006/relationships/hyperlink" Target="#Ulusal_Tiraj_Trend!A1"/><Relationship Id="rId1" Type="http://schemas.openxmlformats.org/officeDocument/2006/relationships/hyperlink" Target="#Veri_Seti!A1"/><Relationship Id="rId4" Type="http://schemas.openxmlformats.org/officeDocument/2006/relationships/hyperlink" Target="#Form&#252;l_Anlat&#305;m!A1"/></Relationships>
</file>

<file path=xl/drawings/drawing1.xml><?xml version="1.0" encoding="utf-8"?>
<xdr:wsDr xmlns:xdr="http://schemas.openxmlformats.org/drawingml/2006/spreadsheetDrawing" xmlns:a="http://schemas.openxmlformats.org/drawingml/2006/main">
  <xdr:twoCellAnchor>
    <xdr:from>
      <xdr:col>7</xdr:col>
      <xdr:colOff>182880</xdr:colOff>
      <xdr:row>2</xdr:row>
      <xdr:rowOff>144780</xdr:rowOff>
    </xdr:from>
    <xdr:to>
      <xdr:col>9</xdr:col>
      <xdr:colOff>511680</xdr:colOff>
      <xdr:row>4</xdr:row>
      <xdr:rowOff>93300</xdr:rowOff>
    </xdr:to>
    <xdr:sp macro="" textlink="">
      <xdr:nvSpPr>
        <xdr:cNvPr id="2" name="Dikdörtgen 1">
          <a:hlinkClick xmlns:r="http://schemas.openxmlformats.org/officeDocument/2006/relationships" r:id="rId1"/>
          <a:extLst>
            <a:ext uri="{FF2B5EF4-FFF2-40B4-BE49-F238E27FC236}">
              <a16:creationId xmlns:a16="http://schemas.microsoft.com/office/drawing/2014/main" id="{D83491DF-02AD-D1A8-CF99-3ABB9BEF3BC5}"/>
            </a:ext>
          </a:extLst>
        </xdr:cNvPr>
        <xdr:cNvSpPr/>
      </xdr:nvSpPr>
      <xdr:spPr>
        <a:xfrm>
          <a:off x="12024360" y="579120"/>
          <a:ext cx="1548000" cy="36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a:t>Veri</a:t>
          </a:r>
          <a:r>
            <a:rPr lang="tr-TR" sz="1100" baseline="0"/>
            <a:t> </a:t>
          </a:r>
          <a:r>
            <a:rPr lang="tr-TR" sz="1100"/>
            <a:t>Seti</a:t>
          </a:r>
        </a:p>
        <a:p>
          <a:pPr algn="ctr"/>
          <a:endParaRPr lang="tr-TR" sz="1100"/>
        </a:p>
      </xdr:txBody>
    </xdr:sp>
    <xdr:clientData/>
  </xdr:twoCellAnchor>
  <xdr:twoCellAnchor>
    <xdr:from>
      <xdr:col>7</xdr:col>
      <xdr:colOff>175260</xdr:colOff>
      <xdr:row>5</xdr:row>
      <xdr:rowOff>182880</xdr:rowOff>
    </xdr:from>
    <xdr:to>
      <xdr:col>9</xdr:col>
      <xdr:colOff>504060</xdr:colOff>
      <xdr:row>7</xdr:row>
      <xdr:rowOff>154260</xdr:rowOff>
    </xdr:to>
    <xdr:sp macro="" textlink="">
      <xdr:nvSpPr>
        <xdr:cNvPr id="3" name="Dikdörtgen 2">
          <a:hlinkClick xmlns:r="http://schemas.openxmlformats.org/officeDocument/2006/relationships" r:id="rId2"/>
          <a:extLst>
            <a:ext uri="{FF2B5EF4-FFF2-40B4-BE49-F238E27FC236}">
              <a16:creationId xmlns:a16="http://schemas.microsoft.com/office/drawing/2014/main" id="{4450F0F0-F761-838F-BC42-2BD1C972B548}"/>
            </a:ext>
          </a:extLst>
        </xdr:cNvPr>
        <xdr:cNvSpPr/>
      </xdr:nvSpPr>
      <xdr:spPr>
        <a:xfrm>
          <a:off x="12131040" y="1211580"/>
          <a:ext cx="1548000" cy="352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a:t>Ulusal</a:t>
          </a:r>
          <a:r>
            <a:rPr lang="tr-TR" sz="1100" baseline="0"/>
            <a:t> Dergi Trendi</a:t>
          </a:r>
        </a:p>
        <a:p>
          <a:pPr algn="ctr"/>
          <a:endParaRPr lang="tr-TR" sz="1100"/>
        </a:p>
      </xdr:txBody>
    </xdr:sp>
    <xdr:clientData/>
  </xdr:twoCellAnchor>
  <xdr:twoCellAnchor>
    <xdr:from>
      <xdr:col>7</xdr:col>
      <xdr:colOff>190500</xdr:colOff>
      <xdr:row>9</xdr:row>
      <xdr:rowOff>15240</xdr:rowOff>
    </xdr:from>
    <xdr:to>
      <xdr:col>9</xdr:col>
      <xdr:colOff>519300</xdr:colOff>
      <xdr:row>11</xdr:row>
      <xdr:rowOff>9480</xdr:rowOff>
    </xdr:to>
    <xdr:sp macro="" textlink="">
      <xdr:nvSpPr>
        <xdr:cNvPr id="4" name="Dikdörtgen 3">
          <a:hlinkClick xmlns:r="http://schemas.openxmlformats.org/officeDocument/2006/relationships" r:id="rId3"/>
          <a:extLst>
            <a:ext uri="{FF2B5EF4-FFF2-40B4-BE49-F238E27FC236}">
              <a16:creationId xmlns:a16="http://schemas.microsoft.com/office/drawing/2014/main" id="{95EBC934-741F-49BD-BCB8-650B5E6BA42B}"/>
            </a:ext>
          </a:extLst>
        </xdr:cNvPr>
        <xdr:cNvSpPr/>
      </xdr:nvSpPr>
      <xdr:spPr>
        <a:xfrm>
          <a:off x="12146280" y="1790700"/>
          <a:ext cx="1548000" cy="36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a:t>Dergi Sektör Trendi</a:t>
          </a:r>
        </a:p>
        <a:p>
          <a:pPr algn="l"/>
          <a:endParaRPr lang="tr-TR" sz="1100"/>
        </a:p>
      </xdr:txBody>
    </xdr:sp>
    <xdr:clientData/>
  </xdr:twoCellAnchor>
  <xdr:twoCellAnchor>
    <xdr:from>
      <xdr:col>7</xdr:col>
      <xdr:colOff>190500</xdr:colOff>
      <xdr:row>12</xdr:row>
      <xdr:rowOff>83820</xdr:rowOff>
    </xdr:from>
    <xdr:to>
      <xdr:col>9</xdr:col>
      <xdr:colOff>519300</xdr:colOff>
      <xdr:row>14</xdr:row>
      <xdr:rowOff>78060</xdr:rowOff>
    </xdr:to>
    <xdr:sp macro="" textlink="">
      <xdr:nvSpPr>
        <xdr:cNvPr id="5" name="Dikdörtgen 4">
          <a:hlinkClick xmlns:r="http://schemas.openxmlformats.org/officeDocument/2006/relationships" r:id="rId4"/>
          <a:extLst>
            <a:ext uri="{FF2B5EF4-FFF2-40B4-BE49-F238E27FC236}">
              <a16:creationId xmlns:a16="http://schemas.microsoft.com/office/drawing/2014/main" id="{2485E4EA-A03F-49C5-B686-6DFBD5D5A024}"/>
            </a:ext>
          </a:extLst>
        </xdr:cNvPr>
        <xdr:cNvSpPr/>
      </xdr:nvSpPr>
      <xdr:spPr>
        <a:xfrm>
          <a:off x="12146280" y="2407920"/>
          <a:ext cx="1548000" cy="36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a:t>Formül Nasıl Çalışır</a:t>
          </a:r>
        </a:p>
        <a:p>
          <a:pPr algn="ctr"/>
          <a:endParaRPr lang="tr-T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veriportali.tuik.gov.tr/tr/press/53810" TargetMode="External"/><Relationship Id="rId2" Type="http://schemas.openxmlformats.org/officeDocument/2006/relationships/hyperlink" Target="https://veriportali.tuik.gov.tr/tr/press/57928" TargetMode="External"/><Relationship Id="rId1" Type="http://schemas.openxmlformats.org/officeDocument/2006/relationships/hyperlink" Target="https://veriportali.tuik.gov.tr/tr/press/57928/metadata"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3E92-9C7B-4057-ABED-B60284E5AA70}">
  <dimension ref="A1:J39"/>
  <sheetViews>
    <sheetView zoomScaleNormal="100" workbookViewId="0">
      <selection activeCell="B20" sqref="B20:E28"/>
    </sheetView>
  </sheetViews>
  <sheetFormatPr defaultRowHeight="14.4" x14ac:dyDescent="0.3"/>
  <cols>
    <col min="1" max="1" width="16" customWidth="1"/>
    <col min="2" max="2" width="20.44140625" customWidth="1"/>
    <col min="3" max="3" width="17" bestFit="1" customWidth="1"/>
    <col min="4" max="4" width="23.21875" customWidth="1"/>
    <col min="5" max="5" width="32.88671875" customWidth="1"/>
    <col min="6" max="6" width="38.6640625" customWidth="1"/>
  </cols>
  <sheetData>
    <row r="1" spans="1:10" ht="19.8" x14ac:dyDescent="0.3">
      <c r="A1" s="66" t="s">
        <v>192</v>
      </c>
      <c r="B1" s="67"/>
      <c r="C1" s="67"/>
      <c r="D1" s="67"/>
      <c r="E1" s="67"/>
      <c r="F1" s="67"/>
    </row>
    <row r="2" spans="1:10" x14ac:dyDescent="0.3">
      <c r="H2" s="65"/>
      <c r="I2" s="65"/>
      <c r="J2" s="65"/>
    </row>
    <row r="3" spans="1:10" x14ac:dyDescent="0.3">
      <c r="A3" s="42" t="s">
        <v>159</v>
      </c>
      <c r="B3" s="42" t="s">
        <v>133</v>
      </c>
      <c r="C3" s="42" t="s">
        <v>195</v>
      </c>
      <c r="D3" s="42" t="s">
        <v>160</v>
      </c>
      <c r="E3" s="42" t="s">
        <v>161</v>
      </c>
      <c r="F3" s="42"/>
      <c r="H3" s="65"/>
      <c r="I3" s="65"/>
      <c r="J3" s="65"/>
    </row>
    <row r="4" spans="1:10" ht="18" x14ac:dyDescent="0.3">
      <c r="A4" s="43">
        <v>90</v>
      </c>
      <c r="B4" s="43" t="s">
        <v>162</v>
      </c>
      <c r="C4" s="43" t="s">
        <v>163</v>
      </c>
      <c r="D4" s="43" t="s">
        <v>164</v>
      </c>
      <c r="E4" s="43" t="s">
        <v>165</v>
      </c>
      <c r="F4" s="43"/>
      <c r="H4" s="65"/>
      <c r="I4" s="65"/>
      <c r="J4" s="65"/>
    </row>
    <row r="5" spans="1:10" x14ac:dyDescent="0.3">
      <c r="A5" s="44"/>
      <c r="B5" s="44" t="s">
        <v>191</v>
      </c>
      <c r="C5" s="44"/>
      <c r="D5" s="44"/>
      <c r="E5" s="44"/>
      <c r="F5" s="44"/>
      <c r="H5" s="65"/>
      <c r="I5" s="65"/>
      <c r="J5" s="65"/>
    </row>
    <row r="6" spans="1:10" ht="15.6" x14ac:dyDescent="0.3">
      <c r="A6" s="64" t="s">
        <v>196</v>
      </c>
      <c r="B6" s="64"/>
      <c r="C6" s="64"/>
      <c r="D6" s="64"/>
      <c r="E6" s="64"/>
      <c r="F6" s="64"/>
      <c r="H6" s="65"/>
      <c r="I6" s="65"/>
      <c r="J6" s="65"/>
    </row>
    <row r="7" spans="1:10" x14ac:dyDescent="0.3">
      <c r="A7" s="38" t="s">
        <v>166</v>
      </c>
      <c r="B7" s="38" t="s">
        <v>167</v>
      </c>
      <c r="C7" s="38" t="s">
        <v>133</v>
      </c>
      <c r="D7" s="38" t="s">
        <v>128</v>
      </c>
      <c r="E7" s="38" t="s">
        <v>193</v>
      </c>
      <c r="F7" s="38" t="s">
        <v>89</v>
      </c>
      <c r="H7" s="65"/>
      <c r="I7" s="65"/>
      <c r="J7" s="65"/>
    </row>
    <row r="8" spans="1:10" x14ac:dyDescent="0.3">
      <c r="A8" s="24">
        <v>1</v>
      </c>
      <c r="B8" s="45" t="s">
        <v>168</v>
      </c>
      <c r="C8" s="46">
        <v>1365428</v>
      </c>
      <c r="D8" s="46">
        <v>497248</v>
      </c>
      <c r="E8" s="58">
        <v>868180</v>
      </c>
      <c r="F8" s="56">
        <v>0.63600000000000001</v>
      </c>
      <c r="H8" s="65"/>
      <c r="I8" s="65"/>
      <c r="J8" s="65"/>
    </row>
    <row r="9" spans="1:10" x14ac:dyDescent="0.3">
      <c r="A9" s="27">
        <v>2</v>
      </c>
      <c r="B9" s="48" t="s">
        <v>70</v>
      </c>
      <c r="C9" s="49">
        <v>1254800</v>
      </c>
      <c r="D9" s="49">
        <v>437125</v>
      </c>
      <c r="E9" s="59">
        <v>817675</v>
      </c>
      <c r="F9" s="57">
        <v>0.65200000000000002</v>
      </c>
      <c r="H9" s="65"/>
      <c r="I9" s="65"/>
      <c r="J9" s="65"/>
    </row>
    <row r="10" spans="1:10" x14ac:dyDescent="0.3">
      <c r="A10" s="24">
        <v>3</v>
      </c>
      <c r="B10" s="45" t="s">
        <v>16</v>
      </c>
      <c r="C10" s="46">
        <v>1253892</v>
      </c>
      <c r="D10" s="46">
        <v>460474</v>
      </c>
      <c r="E10" s="58">
        <v>793418</v>
      </c>
      <c r="F10" s="56">
        <v>0.63300000000000001</v>
      </c>
      <c r="H10" s="65"/>
      <c r="I10" s="65"/>
      <c r="J10" s="65"/>
    </row>
    <row r="11" spans="1:10" x14ac:dyDescent="0.3">
      <c r="A11" s="27">
        <v>4</v>
      </c>
      <c r="B11" s="48" t="s">
        <v>169</v>
      </c>
      <c r="C11" s="49">
        <v>792618</v>
      </c>
      <c r="D11" s="49">
        <v>316968</v>
      </c>
      <c r="E11" s="58">
        <v>475650</v>
      </c>
      <c r="F11" s="56">
        <v>0.6</v>
      </c>
      <c r="H11" s="65"/>
      <c r="I11" s="65"/>
      <c r="J11" s="65"/>
    </row>
    <row r="12" spans="1:10" x14ac:dyDescent="0.3">
      <c r="A12" s="24">
        <v>5</v>
      </c>
      <c r="B12" s="45" t="s">
        <v>41</v>
      </c>
      <c r="C12" s="46">
        <v>612400</v>
      </c>
      <c r="D12" s="46">
        <v>188614</v>
      </c>
      <c r="E12" s="59">
        <v>423786</v>
      </c>
      <c r="F12" s="57">
        <v>0.69199999999999995</v>
      </c>
      <c r="H12" s="65"/>
      <c r="I12" s="65"/>
      <c r="J12" s="65"/>
    </row>
    <row r="13" spans="1:10" x14ac:dyDescent="0.3">
      <c r="A13" s="27">
        <v>6</v>
      </c>
      <c r="B13" s="48" t="s">
        <v>3</v>
      </c>
      <c r="C13" s="49">
        <v>602513</v>
      </c>
      <c r="D13" s="49">
        <v>221654</v>
      </c>
      <c r="E13" s="58">
        <v>380859</v>
      </c>
      <c r="F13" s="56">
        <v>0.63200000000000001</v>
      </c>
      <c r="H13" s="65"/>
      <c r="I13" s="65"/>
      <c r="J13" s="65"/>
    </row>
    <row r="14" spans="1:10" x14ac:dyDescent="0.3">
      <c r="A14" s="24">
        <v>7</v>
      </c>
      <c r="B14" s="45" t="s">
        <v>170</v>
      </c>
      <c r="C14" s="46">
        <v>536200</v>
      </c>
      <c r="D14" s="46">
        <v>197586</v>
      </c>
      <c r="E14" s="58">
        <v>338614</v>
      </c>
      <c r="F14" s="56">
        <v>0.63200000000000001</v>
      </c>
      <c r="H14" s="65"/>
      <c r="I14" s="65"/>
      <c r="J14" s="65"/>
    </row>
    <row r="15" spans="1:10" x14ac:dyDescent="0.3">
      <c r="A15" s="27">
        <v>8</v>
      </c>
      <c r="B15" s="48" t="s">
        <v>171</v>
      </c>
      <c r="C15" s="49">
        <v>468400</v>
      </c>
      <c r="D15" s="49">
        <v>139610</v>
      </c>
      <c r="E15" s="59">
        <v>328790</v>
      </c>
      <c r="F15" s="57">
        <v>0.70199999999999996</v>
      </c>
      <c r="H15" s="65"/>
      <c r="I15" s="65"/>
      <c r="J15" s="65"/>
    </row>
    <row r="16" spans="1:10" x14ac:dyDescent="0.3">
      <c r="A16" s="24">
        <v>9</v>
      </c>
      <c r="B16" s="45" t="s">
        <v>49</v>
      </c>
      <c r="C16" s="46">
        <v>510200</v>
      </c>
      <c r="D16" s="46">
        <v>183181</v>
      </c>
      <c r="E16" s="58">
        <v>327019</v>
      </c>
      <c r="F16" s="56">
        <v>0.64100000000000001</v>
      </c>
      <c r="H16" s="65"/>
      <c r="I16" s="65"/>
      <c r="J16" s="65"/>
    </row>
    <row r="17" spans="1:10" x14ac:dyDescent="0.3">
      <c r="A17" s="27">
        <v>10</v>
      </c>
      <c r="B17" s="48" t="s">
        <v>51</v>
      </c>
      <c r="C17" s="49">
        <v>490700</v>
      </c>
      <c r="D17" s="49">
        <v>172038</v>
      </c>
      <c r="E17" s="59">
        <v>318662</v>
      </c>
      <c r="F17" s="57">
        <v>0.65</v>
      </c>
      <c r="H17" s="65"/>
      <c r="I17" s="65"/>
      <c r="J17" s="65"/>
    </row>
    <row r="19" spans="1:10" ht="14.4" customHeight="1" x14ac:dyDescent="0.3">
      <c r="A19" s="60"/>
      <c r="B19" s="60"/>
      <c r="C19" s="60"/>
      <c r="D19" s="60"/>
      <c r="E19" s="60"/>
      <c r="F19" s="61"/>
    </row>
    <row r="20" spans="1:10" x14ac:dyDescent="0.3">
      <c r="A20" s="60"/>
      <c r="B20" s="62" t="s">
        <v>197</v>
      </c>
      <c r="C20" s="62"/>
      <c r="D20" s="62"/>
      <c r="E20" s="62"/>
      <c r="F20" s="61"/>
      <c r="G20" s="19" t="s">
        <v>194</v>
      </c>
    </row>
    <row r="21" spans="1:10" x14ac:dyDescent="0.3">
      <c r="A21" s="60"/>
      <c r="B21" s="62"/>
      <c r="C21" s="62"/>
      <c r="D21" s="62"/>
      <c r="E21" s="62"/>
      <c r="F21" s="61"/>
      <c r="G21" s="19"/>
    </row>
    <row r="22" spans="1:10" x14ac:dyDescent="0.3">
      <c r="A22" s="60"/>
      <c r="B22" s="62"/>
      <c r="C22" s="62"/>
      <c r="D22" s="62"/>
      <c r="E22" s="62"/>
      <c r="F22" s="61"/>
      <c r="G22" s="19"/>
    </row>
    <row r="23" spans="1:10" x14ac:dyDescent="0.3">
      <c r="A23" s="60"/>
      <c r="B23" s="62"/>
      <c r="C23" s="62"/>
      <c r="D23" s="62"/>
      <c r="E23" s="62"/>
      <c r="F23" s="61"/>
      <c r="G23" s="19"/>
    </row>
    <row r="24" spans="1:10" x14ac:dyDescent="0.3">
      <c r="A24" s="60"/>
      <c r="B24" s="62"/>
      <c r="C24" s="62"/>
      <c r="D24" s="62"/>
      <c r="E24" s="62"/>
      <c r="F24" s="61"/>
      <c r="G24" s="19"/>
    </row>
    <row r="25" spans="1:10" x14ac:dyDescent="0.3">
      <c r="A25" s="60"/>
      <c r="B25" s="62"/>
      <c r="C25" s="62"/>
      <c r="D25" s="62"/>
      <c r="E25" s="62"/>
      <c r="F25" s="61"/>
      <c r="G25" s="19"/>
    </row>
    <row r="26" spans="1:10" x14ac:dyDescent="0.3">
      <c r="A26" s="60"/>
      <c r="B26" s="62"/>
      <c r="C26" s="62"/>
      <c r="D26" s="62"/>
      <c r="E26" s="62"/>
      <c r="F26" s="61"/>
      <c r="G26" s="19"/>
    </row>
    <row r="27" spans="1:10" x14ac:dyDescent="0.3">
      <c r="A27" s="61"/>
      <c r="B27" s="62"/>
      <c r="C27" s="62"/>
      <c r="D27" s="62"/>
      <c r="E27" s="62"/>
      <c r="F27" s="61"/>
      <c r="G27" s="19"/>
    </row>
    <row r="28" spans="1:10" x14ac:dyDescent="0.3">
      <c r="A28" s="61"/>
      <c r="B28" s="62"/>
      <c r="C28" s="62"/>
      <c r="D28" s="62"/>
      <c r="E28" s="62"/>
      <c r="F28" s="61"/>
      <c r="G28" s="19"/>
    </row>
    <row r="29" spans="1:10" x14ac:dyDescent="0.3">
      <c r="A29" s="61"/>
      <c r="B29" s="61"/>
      <c r="C29" s="61"/>
      <c r="D29" s="61"/>
      <c r="E29" s="61"/>
      <c r="F29" s="61"/>
      <c r="G29" s="19"/>
    </row>
    <row r="30" spans="1:10" x14ac:dyDescent="0.3">
      <c r="A30" s="61"/>
      <c r="B30" s="61"/>
      <c r="C30" s="61"/>
      <c r="D30" s="61"/>
      <c r="E30" s="61"/>
      <c r="F30" s="61"/>
      <c r="G30" s="19"/>
    </row>
    <row r="31" spans="1:10" x14ac:dyDescent="0.3">
      <c r="A31" s="61"/>
      <c r="B31" s="61"/>
      <c r="C31" s="61"/>
      <c r="D31" s="61"/>
      <c r="E31" s="61"/>
      <c r="F31" s="61"/>
      <c r="G31" s="19"/>
    </row>
    <row r="32" spans="1:10" x14ac:dyDescent="0.3">
      <c r="A32" s="61"/>
      <c r="B32" s="61"/>
      <c r="C32" s="61"/>
      <c r="D32" s="61"/>
      <c r="E32" s="61"/>
      <c r="F32" s="61"/>
      <c r="G32" s="19"/>
    </row>
    <row r="33" spans="1:7" x14ac:dyDescent="0.3">
      <c r="A33" s="61"/>
      <c r="B33" s="61"/>
      <c r="C33" s="61"/>
      <c r="D33" s="61"/>
      <c r="E33" s="61"/>
      <c r="F33" s="61"/>
      <c r="G33" s="19"/>
    </row>
    <row r="34" spans="1:7" x14ac:dyDescent="0.3">
      <c r="A34" s="61"/>
      <c r="B34" s="61"/>
      <c r="C34" s="61"/>
      <c r="D34" s="61"/>
      <c r="E34" s="61"/>
      <c r="F34" s="61"/>
    </row>
    <row r="35" spans="1:7" x14ac:dyDescent="0.3">
      <c r="A35" s="61"/>
      <c r="B35" s="61"/>
      <c r="C35" s="61"/>
      <c r="D35" s="61"/>
      <c r="E35" s="61"/>
      <c r="F35" s="61"/>
    </row>
    <row r="36" spans="1:7" x14ac:dyDescent="0.3">
      <c r="A36" s="61"/>
      <c r="B36" s="61"/>
      <c r="C36" s="61"/>
      <c r="D36" s="61"/>
      <c r="E36" s="61"/>
      <c r="F36" s="61"/>
    </row>
    <row r="37" spans="1:7" x14ac:dyDescent="0.3">
      <c r="A37" s="61"/>
      <c r="B37" s="63" t="s">
        <v>187</v>
      </c>
      <c r="C37" s="63"/>
      <c r="D37" s="63"/>
      <c r="E37" s="63"/>
      <c r="F37" s="55" t="s">
        <v>189</v>
      </c>
    </row>
    <row r="38" spans="1:7" x14ac:dyDescent="0.3">
      <c r="B38" s="63"/>
      <c r="C38" s="63"/>
      <c r="D38" s="63"/>
      <c r="E38" s="63"/>
      <c r="F38" s="55" t="s">
        <v>188</v>
      </c>
    </row>
    <row r="39" spans="1:7" x14ac:dyDescent="0.3">
      <c r="B39" s="63"/>
      <c r="C39" s="63"/>
      <c r="D39" s="63"/>
      <c r="E39" s="63"/>
      <c r="F39" s="55" t="s">
        <v>190</v>
      </c>
    </row>
  </sheetData>
  <mergeCells count="5">
    <mergeCell ref="B20:E28"/>
    <mergeCell ref="B37:E39"/>
    <mergeCell ref="A6:F6"/>
    <mergeCell ref="H2:J17"/>
    <mergeCell ref="A1:F1"/>
  </mergeCells>
  <phoneticPr fontId="3" type="noConversion"/>
  <hyperlinks>
    <hyperlink ref="F39" r:id="rId1" xr:uid="{B8BCB2EF-9DEA-4606-81E9-4F17400480CE}"/>
    <hyperlink ref="F38" r:id="rId2" xr:uid="{1C354EB6-51A0-4C1A-AC42-BE954720732E}"/>
    <hyperlink ref="F37" r:id="rId3" xr:uid="{632E3D53-F118-4185-97F3-1DA4679A5D78}"/>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4948D-88A5-45B1-9129-F7D1946DE004}">
  <dimension ref="A1:P813"/>
  <sheetViews>
    <sheetView tabSelected="1" topLeftCell="A796" zoomScaleNormal="100" workbookViewId="0">
      <selection activeCell="B682" sqref="B682"/>
    </sheetView>
  </sheetViews>
  <sheetFormatPr defaultRowHeight="14.4" x14ac:dyDescent="0.3"/>
  <cols>
    <col min="1" max="1" width="24.44140625" bestFit="1" customWidth="1"/>
    <col min="2" max="2" width="23.109375" style="2" bestFit="1" customWidth="1"/>
    <col min="3" max="3" width="22.88671875" style="2" bestFit="1" customWidth="1"/>
    <col min="4" max="4" width="22.33203125" style="2" bestFit="1" customWidth="1"/>
    <col min="5" max="5" width="14.109375" style="1" customWidth="1"/>
    <col min="6" max="6" width="9.33203125" bestFit="1" customWidth="1"/>
    <col min="7" max="7" width="13.5546875" customWidth="1"/>
    <col min="8" max="8" width="20.5546875" customWidth="1"/>
    <col min="9" max="9" width="23.88671875" customWidth="1"/>
    <col min="10" max="10" width="30.21875" customWidth="1"/>
    <col min="11" max="11" width="15.21875" customWidth="1"/>
    <col min="12" max="12" width="5.6640625" customWidth="1"/>
  </cols>
  <sheetData>
    <row r="1" spans="1:16" x14ac:dyDescent="0.3">
      <c r="A1" s="3" t="s">
        <v>0</v>
      </c>
      <c r="B1" s="4" t="s">
        <v>88</v>
      </c>
      <c r="C1" s="4" t="s">
        <v>87</v>
      </c>
      <c r="D1" s="4" t="s">
        <v>86</v>
      </c>
      <c r="E1" s="5" t="s">
        <v>89</v>
      </c>
      <c r="H1" s="69" t="s">
        <v>126</v>
      </c>
      <c r="I1" s="69"/>
      <c r="J1" s="69"/>
      <c r="K1" s="69"/>
      <c r="L1" s="69"/>
      <c r="M1" s="69"/>
      <c r="N1" s="69"/>
    </row>
    <row r="2" spans="1:16" ht="14.4" customHeight="1" x14ac:dyDescent="0.3">
      <c r="A2" s="6" t="s">
        <v>1</v>
      </c>
      <c r="B2" s="7">
        <f>SUM(B3:B11)</f>
        <v>55713.535714285681</v>
      </c>
      <c r="C2" s="7">
        <f>SUM(C3:C11)</f>
        <v>23842.928571428638</v>
      </c>
      <c r="D2" s="7">
        <f>SUM(D3:D11)</f>
        <v>31870.607142857043</v>
      </c>
      <c r="E2" s="1">
        <f>D2/B2</f>
        <v>0.57204423905706281</v>
      </c>
      <c r="H2" s="68" t="s">
        <v>140</v>
      </c>
      <c r="I2" s="68"/>
      <c r="J2" s="68"/>
      <c r="K2" s="68"/>
      <c r="L2" s="68"/>
      <c r="M2" s="68"/>
      <c r="N2" s="68"/>
      <c r="O2" s="68"/>
      <c r="P2" s="68"/>
    </row>
    <row r="3" spans="1:16" x14ac:dyDescent="0.3">
      <c r="A3">
        <v>2019</v>
      </c>
      <c r="B3" s="2">
        <v>7943</v>
      </c>
      <c r="C3" s="2">
        <v>3860</v>
      </c>
      <c r="D3" s="2">
        <v>4083</v>
      </c>
      <c r="E3" s="1">
        <f t="shared" ref="E3:E82" si="0">D3/B3</f>
        <v>0.51403751731083969</v>
      </c>
      <c r="H3" s="68"/>
      <c r="I3" s="68"/>
      <c r="J3" s="68"/>
      <c r="K3" s="68"/>
      <c r="L3" s="68"/>
      <c r="M3" s="68"/>
      <c r="N3" s="68"/>
      <c r="O3" s="68"/>
      <c r="P3" s="68"/>
    </row>
    <row r="4" spans="1:16" x14ac:dyDescent="0.3">
      <c r="A4">
        <v>2020</v>
      </c>
      <c r="B4" s="2">
        <v>7664</v>
      </c>
      <c r="C4" s="2">
        <v>2363</v>
      </c>
      <c r="D4" s="2">
        <v>5301</v>
      </c>
      <c r="E4" s="1">
        <f t="shared" si="0"/>
        <v>0.69167536534446761</v>
      </c>
      <c r="H4" s="68"/>
      <c r="I4" s="68"/>
      <c r="J4" s="68"/>
      <c r="K4" s="68"/>
      <c r="L4" s="68"/>
      <c r="M4" s="68"/>
      <c r="N4" s="68"/>
      <c r="O4" s="68"/>
      <c r="P4" s="68"/>
    </row>
    <row r="5" spans="1:16" x14ac:dyDescent="0.3">
      <c r="A5">
        <v>2021</v>
      </c>
      <c r="B5" s="2">
        <v>11274</v>
      </c>
      <c r="C5" s="2">
        <v>4506</v>
      </c>
      <c r="D5" s="2">
        <v>6768</v>
      </c>
      <c r="E5" s="1">
        <f t="shared" si="0"/>
        <v>0.60031931878658862</v>
      </c>
      <c r="H5" s="68"/>
      <c r="I5" s="68"/>
      <c r="J5" s="68"/>
      <c r="K5" s="68"/>
      <c r="L5" s="68"/>
      <c r="M5" s="68"/>
      <c r="N5" s="68"/>
      <c r="O5" s="68"/>
      <c r="P5" s="68"/>
    </row>
    <row r="6" spans="1:16" x14ac:dyDescent="0.3">
      <c r="A6">
        <v>2022</v>
      </c>
      <c r="B6" s="2">
        <v>5737</v>
      </c>
      <c r="C6" s="2">
        <v>2908</v>
      </c>
      <c r="D6" s="2">
        <v>2829</v>
      </c>
      <c r="E6" s="1">
        <f t="shared" si="0"/>
        <v>0.49311486839811747</v>
      </c>
      <c r="H6" s="68"/>
      <c r="I6" s="68"/>
      <c r="J6" s="68"/>
      <c r="K6" s="68"/>
      <c r="L6" s="68"/>
      <c r="M6" s="68"/>
      <c r="N6" s="68"/>
      <c r="O6" s="68"/>
      <c r="P6" s="68"/>
    </row>
    <row r="7" spans="1:16" x14ac:dyDescent="0.3">
      <c r="A7">
        <v>2023</v>
      </c>
      <c r="B7" s="2">
        <v>11574</v>
      </c>
      <c r="C7" s="2">
        <v>4799</v>
      </c>
      <c r="D7" s="2">
        <v>6775</v>
      </c>
      <c r="E7" s="1">
        <f t="shared" si="0"/>
        <v>0.5853637463279765</v>
      </c>
      <c r="H7" s="68"/>
      <c r="I7" s="68"/>
      <c r="J7" s="68"/>
      <c r="K7" s="68"/>
      <c r="L7" s="68"/>
      <c r="M7" s="68"/>
      <c r="N7" s="68"/>
      <c r="O7" s="68"/>
      <c r="P7" s="68"/>
    </row>
    <row r="8" spans="1:16" x14ac:dyDescent="0.3">
      <c r="A8">
        <v>2024</v>
      </c>
      <c r="B8" s="2">
        <v>5383</v>
      </c>
      <c r="C8" s="2">
        <v>2481</v>
      </c>
      <c r="D8" s="2">
        <v>2902</v>
      </c>
      <c r="E8" s="1">
        <f t="shared" si="0"/>
        <v>0.53910458851941301</v>
      </c>
      <c r="H8" s="68"/>
      <c r="I8" s="68"/>
      <c r="J8" s="68"/>
      <c r="K8" s="68"/>
      <c r="L8" s="68"/>
      <c r="M8" s="68"/>
      <c r="N8" s="68"/>
      <c r="O8" s="68"/>
      <c r="P8" s="68"/>
    </row>
    <row r="9" spans="1:16" x14ac:dyDescent="0.3">
      <c r="A9">
        <v>2025</v>
      </c>
      <c r="B9" s="2">
        <v>446</v>
      </c>
      <c r="C9" s="2">
        <v>223</v>
      </c>
      <c r="D9" s="2">
        <v>223</v>
      </c>
      <c r="E9" s="1">
        <f t="shared" si="0"/>
        <v>0.5</v>
      </c>
    </row>
    <row r="10" spans="1:16" x14ac:dyDescent="0.3">
      <c r="A10">
        <v>2026</v>
      </c>
      <c r="B10" s="2">
        <f>_xlfn.FORECAST.LINEAR(A10,B3:B9,A3:A9)</f>
        <v>3324</v>
      </c>
      <c r="C10" s="2">
        <f>_xlfn.FORECAST.LINEAR(A10,C3:C9,A3:A9)</f>
        <v>1536.8571428571595</v>
      </c>
      <c r="D10" s="2">
        <f>B10-C10</f>
        <v>1787.1428571428405</v>
      </c>
      <c r="E10" s="1">
        <f t="shared" si="0"/>
        <v>0.53764827230530698</v>
      </c>
    </row>
    <row r="11" spans="1:16" x14ac:dyDescent="0.3">
      <c r="A11">
        <v>2027</v>
      </c>
      <c r="B11" s="2">
        <f>_xlfn.FORECAST.LINEAR(A11,B3:B10,A3:A10)</f>
        <v>2368.535714285681</v>
      </c>
      <c r="C11" s="2">
        <f>_xlfn.FORECAST.LINEAR(A11,C3:C10,A3:A10)</f>
        <v>1166.0714285714785</v>
      </c>
      <c r="D11" s="2">
        <f>B11-C11</f>
        <v>1202.4642857142026</v>
      </c>
      <c r="E11" s="1">
        <f t="shared" si="0"/>
        <v>0.50768256457422678</v>
      </c>
    </row>
    <row r="12" spans="1:16" x14ac:dyDescent="0.3">
      <c r="A12" s="6" t="s">
        <v>2</v>
      </c>
      <c r="B12" s="7">
        <f>SUM(B13:B21)</f>
        <v>475225.71428571455</v>
      </c>
      <c r="C12" s="7">
        <f>SUM(C13:C21)</f>
        <v>156689.99999999977</v>
      </c>
      <c r="D12" s="7">
        <f>SUM(D13:D21)</f>
        <v>318535.71428571478</v>
      </c>
      <c r="E12" s="1">
        <f t="shared" si="0"/>
        <v>0.67028299334451669</v>
      </c>
    </row>
    <row r="13" spans="1:16" x14ac:dyDescent="0.3">
      <c r="A13">
        <v>2019</v>
      </c>
      <c r="B13" s="2">
        <v>12789</v>
      </c>
      <c r="C13" s="2">
        <v>3245</v>
      </c>
      <c r="D13" s="2">
        <v>9544</v>
      </c>
      <c r="E13" s="1">
        <f t="shared" si="0"/>
        <v>0.74626632262100245</v>
      </c>
    </row>
    <row r="14" spans="1:16" x14ac:dyDescent="0.3">
      <c r="A14">
        <v>2020</v>
      </c>
      <c r="B14" s="2">
        <v>21184</v>
      </c>
      <c r="C14" s="2">
        <v>5745</v>
      </c>
      <c r="D14" s="2">
        <v>15439</v>
      </c>
      <c r="E14" s="1">
        <f t="shared" si="0"/>
        <v>0.72880475830815705</v>
      </c>
    </row>
    <row r="15" spans="1:16" x14ac:dyDescent="0.3">
      <c r="A15">
        <v>2021</v>
      </c>
      <c r="B15" s="2">
        <v>93239</v>
      </c>
      <c r="C15" s="2">
        <v>31096</v>
      </c>
      <c r="D15" s="2">
        <v>62143</v>
      </c>
      <c r="E15" s="1">
        <f t="shared" si="0"/>
        <v>0.66649148961271576</v>
      </c>
    </row>
    <row r="16" spans="1:16" x14ac:dyDescent="0.3">
      <c r="A16">
        <v>2022</v>
      </c>
      <c r="B16" s="2">
        <v>80068</v>
      </c>
      <c r="C16" s="2">
        <v>24568</v>
      </c>
      <c r="D16" s="2">
        <v>55500</v>
      </c>
      <c r="E16" s="1">
        <f t="shared" si="0"/>
        <v>0.69316081330868762</v>
      </c>
    </row>
    <row r="17" spans="1:5" x14ac:dyDescent="0.3">
      <c r="A17">
        <v>2023</v>
      </c>
      <c r="B17" s="2">
        <v>74601</v>
      </c>
      <c r="C17" s="2">
        <v>26942</v>
      </c>
      <c r="D17" s="2">
        <v>47659</v>
      </c>
      <c r="E17" s="1">
        <f t="shared" si="0"/>
        <v>0.63885202611225056</v>
      </c>
    </row>
    <row r="18" spans="1:5" x14ac:dyDescent="0.3">
      <c r="A18">
        <v>2024</v>
      </c>
      <c r="B18" s="2">
        <v>48169</v>
      </c>
      <c r="C18" s="2">
        <v>15981</v>
      </c>
      <c r="D18" s="2">
        <v>32188</v>
      </c>
      <c r="E18" s="1">
        <f t="shared" si="0"/>
        <v>0.66823060474579088</v>
      </c>
    </row>
    <row r="19" spans="1:5" x14ac:dyDescent="0.3">
      <c r="A19">
        <v>2025</v>
      </c>
      <c r="B19" s="2">
        <v>23045</v>
      </c>
      <c r="C19" s="2">
        <v>7227</v>
      </c>
      <c r="D19" s="2">
        <v>15818</v>
      </c>
      <c r="E19" s="1">
        <f t="shared" si="0"/>
        <v>0.68639618138424818</v>
      </c>
    </row>
    <row r="20" spans="1:5" x14ac:dyDescent="0.3">
      <c r="A20">
        <v>2026</v>
      </c>
      <c r="B20" s="2">
        <f>_xlfn.FORECAST.LINEAR(A20,B13:B19,A13:A19)</f>
        <v>59885</v>
      </c>
      <c r="C20" s="2">
        <f>_xlfn.FORECAST.LINEAR(A20,C13:C19,A13:A19)</f>
        <v>20438.285714285681</v>
      </c>
      <c r="D20" s="2">
        <f>B20-C20</f>
        <v>39446.714285714319</v>
      </c>
      <c r="E20" s="1">
        <f t="shared" si="0"/>
        <v>0.65870776130440545</v>
      </c>
    </row>
    <row r="21" spans="1:5" x14ac:dyDescent="0.3">
      <c r="A21">
        <v>2027</v>
      </c>
      <c r="B21" s="2">
        <f>_xlfn.FORECAST.LINEAR(A21,B13:B20,A13:A20)</f>
        <v>62245.714285714552</v>
      </c>
      <c r="C21" s="2">
        <f>_xlfn.FORECAST.LINEAR(A21,C13:C20,A13:A20)</f>
        <v>21447.714285714086</v>
      </c>
      <c r="D21" s="2">
        <f>B21-C21</f>
        <v>40798.000000000466</v>
      </c>
      <c r="E21" s="1">
        <f t="shared" si="0"/>
        <v>0.65543468282383655</v>
      </c>
    </row>
    <row r="22" spans="1:5" x14ac:dyDescent="0.3">
      <c r="A22" s="6" t="s">
        <v>3</v>
      </c>
      <c r="B22" s="7">
        <f>SUM(B23:B31)</f>
        <v>602512.71428571641</v>
      </c>
      <c r="C22" s="7">
        <f>SUM(C23:C31)</f>
        <v>221653.60714285634</v>
      </c>
      <c r="D22" s="7">
        <f>SUM(D23:D31)</f>
        <v>380859.10714286007</v>
      </c>
      <c r="E22" s="1">
        <f t="shared" si="0"/>
        <v>0.6321179588622815</v>
      </c>
    </row>
    <row r="23" spans="1:5" x14ac:dyDescent="0.3">
      <c r="A23">
        <v>2019</v>
      </c>
      <c r="B23" s="2">
        <v>43387</v>
      </c>
      <c r="C23" s="2">
        <v>12738</v>
      </c>
      <c r="D23" s="2">
        <v>30649</v>
      </c>
      <c r="E23" s="1">
        <f t="shared" si="0"/>
        <v>0.70640975407380091</v>
      </c>
    </row>
    <row r="24" spans="1:5" x14ac:dyDescent="0.3">
      <c r="A24">
        <v>2020</v>
      </c>
      <c r="B24" s="2">
        <v>149268</v>
      </c>
      <c r="C24" s="2">
        <v>62943</v>
      </c>
      <c r="D24" s="2">
        <v>86325</v>
      </c>
      <c r="E24" s="1">
        <f t="shared" si="0"/>
        <v>0.57832221239649495</v>
      </c>
    </row>
    <row r="25" spans="1:5" x14ac:dyDescent="0.3">
      <c r="A25">
        <v>2021</v>
      </c>
      <c r="B25" s="2">
        <v>120241</v>
      </c>
      <c r="C25" s="2">
        <v>52722</v>
      </c>
      <c r="D25" s="2">
        <v>67519</v>
      </c>
      <c r="E25" s="1">
        <f t="shared" si="0"/>
        <v>0.5615305927262747</v>
      </c>
    </row>
    <row r="26" spans="1:5" x14ac:dyDescent="0.3">
      <c r="A26">
        <v>2022</v>
      </c>
      <c r="B26" s="2">
        <v>60623</v>
      </c>
      <c r="C26" s="2">
        <v>15002</v>
      </c>
      <c r="D26" s="2">
        <v>45621</v>
      </c>
      <c r="E26" s="1">
        <f t="shared" si="0"/>
        <v>0.75253616614156338</v>
      </c>
    </row>
    <row r="27" spans="1:5" x14ac:dyDescent="0.3">
      <c r="A27">
        <v>2023</v>
      </c>
      <c r="B27" s="2">
        <v>75982</v>
      </c>
      <c r="C27" s="2">
        <v>24955</v>
      </c>
      <c r="D27" s="2">
        <v>51027</v>
      </c>
      <c r="E27" s="1">
        <f t="shared" si="0"/>
        <v>0.67156695006712119</v>
      </c>
    </row>
    <row r="28" spans="1:5" x14ac:dyDescent="0.3">
      <c r="A28">
        <v>2024</v>
      </c>
      <c r="B28" s="2">
        <v>52571</v>
      </c>
      <c r="C28" s="2">
        <v>20394</v>
      </c>
      <c r="D28" s="2">
        <v>32177</v>
      </c>
      <c r="E28" s="1">
        <f t="shared" si="0"/>
        <v>0.61206748968062241</v>
      </c>
    </row>
    <row r="29" spans="1:5" x14ac:dyDescent="0.3">
      <c r="A29">
        <v>2025</v>
      </c>
      <c r="B29" s="2">
        <v>33430</v>
      </c>
      <c r="C29" s="2">
        <v>12236</v>
      </c>
      <c r="D29" s="2">
        <v>21194</v>
      </c>
      <c r="E29" s="1">
        <f t="shared" si="0"/>
        <v>0.63398145378402637</v>
      </c>
    </row>
    <row r="30" spans="1:5" x14ac:dyDescent="0.3">
      <c r="A30">
        <v>2026</v>
      </c>
      <c r="B30" s="2">
        <f>_xlfn.FORECAST.LINEAR(A30,B23:B29,A23:A29)</f>
        <v>38282.571428574622</v>
      </c>
      <c r="C30" s="2">
        <f>_xlfn.FORECAST.LINEAR(A30,C23:C29,A23:A29)</f>
        <v>12374.142857142724</v>
      </c>
      <c r="D30" s="2">
        <f>B30-C30</f>
        <v>25908.428571431898</v>
      </c>
      <c r="E30" s="1">
        <f t="shared" si="0"/>
        <v>0.67676824216916376</v>
      </c>
    </row>
    <row r="31" spans="1:5" x14ac:dyDescent="0.3">
      <c r="A31">
        <v>2027</v>
      </c>
      <c r="B31" s="2">
        <f>_xlfn.FORECAST.LINEAR(A31,B23:B30,A23:A30)</f>
        <v>28728.142857141793</v>
      </c>
      <c r="C31" s="2">
        <f>_xlfn.FORECAST.LINEAR(A31,C23:C30,A23:A30)</f>
        <v>8289.4642857136205</v>
      </c>
      <c r="D31" s="2">
        <f>B31-C31</f>
        <v>20438.678571428172</v>
      </c>
      <c r="E31" s="1">
        <f t="shared" si="0"/>
        <v>0.71145143885787709</v>
      </c>
    </row>
    <row r="32" spans="1:5" x14ac:dyDescent="0.3">
      <c r="A32" s="6" t="s">
        <v>4</v>
      </c>
      <c r="B32" s="7">
        <f>SUM(B33:B41)</f>
        <v>58812.107142857159</v>
      </c>
      <c r="C32" s="7">
        <f>SUM(C33:C41)</f>
        <v>20882.250000000058</v>
      </c>
      <c r="D32" s="7">
        <f>SUM(D33:D41)</f>
        <v>37929.857142857101</v>
      </c>
      <c r="E32" s="1">
        <f t="shared" si="0"/>
        <v>0.64493280355903304</v>
      </c>
    </row>
    <row r="33" spans="1:5" x14ac:dyDescent="0.3">
      <c r="A33">
        <v>2019</v>
      </c>
      <c r="B33" s="2">
        <v>9204</v>
      </c>
      <c r="C33" s="2">
        <v>1518</v>
      </c>
      <c r="D33" s="2">
        <v>7686</v>
      </c>
      <c r="E33" s="1">
        <f t="shared" si="0"/>
        <v>0.83507170795306385</v>
      </c>
    </row>
    <row r="34" spans="1:5" x14ac:dyDescent="0.3">
      <c r="A34">
        <v>2020</v>
      </c>
      <c r="B34" s="2">
        <v>7178</v>
      </c>
      <c r="C34" s="2">
        <v>2999</v>
      </c>
      <c r="D34" s="2">
        <v>4179</v>
      </c>
      <c r="E34" s="1">
        <f t="shared" si="0"/>
        <v>0.58219559765951523</v>
      </c>
    </row>
    <row r="35" spans="1:5" x14ac:dyDescent="0.3">
      <c r="A35">
        <v>2021</v>
      </c>
      <c r="B35" s="2">
        <v>0</v>
      </c>
      <c r="C35" s="2">
        <v>8</v>
      </c>
      <c r="D35" s="2">
        <v>-8</v>
      </c>
      <c r="E35" s="1" t="e">
        <f t="shared" si="0"/>
        <v>#DIV/0!</v>
      </c>
    </row>
    <row r="36" spans="1:5" x14ac:dyDescent="0.3">
      <c r="A36">
        <v>2022</v>
      </c>
      <c r="B36" s="2">
        <v>9776</v>
      </c>
      <c r="C36" s="2">
        <v>2916</v>
      </c>
      <c r="D36" s="2">
        <v>6860</v>
      </c>
      <c r="E36" s="1">
        <f t="shared" si="0"/>
        <v>0.70171849427168576</v>
      </c>
    </row>
    <row r="37" spans="1:5" x14ac:dyDescent="0.3">
      <c r="A37">
        <v>2023</v>
      </c>
      <c r="B37" s="2">
        <v>0</v>
      </c>
      <c r="C37" s="2">
        <v>15</v>
      </c>
      <c r="D37" s="2">
        <v>-15</v>
      </c>
      <c r="E37" s="1" t="e">
        <f t="shared" si="0"/>
        <v>#DIV/0!</v>
      </c>
    </row>
    <row r="38" spans="1:5" x14ac:dyDescent="0.3">
      <c r="A38">
        <v>2024</v>
      </c>
      <c r="B38" s="2">
        <v>12021</v>
      </c>
      <c r="C38" s="2">
        <v>4691</v>
      </c>
      <c r="D38" s="2">
        <v>7330</v>
      </c>
      <c r="E38" s="1">
        <f t="shared" si="0"/>
        <v>0.60976624240911736</v>
      </c>
    </row>
    <row r="39" spans="1:5" x14ac:dyDescent="0.3">
      <c r="A39">
        <v>2025</v>
      </c>
      <c r="B39" s="2">
        <v>6883</v>
      </c>
      <c r="C39" s="2">
        <v>2506</v>
      </c>
      <c r="D39" s="2">
        <v>4377</v>
      </c>
      <c r="E39" s="1">
        <f t="shared" si="0"/>
        <v>0.63591457213424374</v>
      </c>
    </row>
    <row r="40" spans="1:5" x14ac:dyDescent="0.3">
      <c r="A40">
        <v>2026</v>
      </c>
      <c r="B40" s="2">
        <f>_xlfn.FORECAST.LINEAR(A40,B33:B39,A33:A39)</f>
        <v>6826.4285714285797</v>
      </c>
      <c r="C40" s="2">
        <f>_xlfn.FORECAST.LINEAR(A40,C33:C39,A33:A39)</f>
        <v>3001.1428571428987</v>
      </c>
      <c r="D40" s="2">
        <f>B40-C40</f>
        <v>3825.285714285681</v>
      </c>
      <c r="E40" s="1">
        <f t="shared" si="0"/>
        <v>0.5603641310034474</v>
      </c>
    </row>
    <row r="41" spans="1:5" x14ac:dyDescent="0.3">
      <c r="A41">
        <v>2027</v>
      </c>
      <c r="B41" s="2">
        <f>_xlfn.FORECAST.LINEAR(A41,B33:B40,A33:A40)</f>
        <v>6923.6785714285797</v>
      </c>
      <c r="C41" s="2">
        <f>_xlfn.FORECAST.LINEAR(A41,C33:C40,A33:A40)</f>
        <v>3228.1071428571595</v>
      </c>
      <c r="D41" s="2">
        <f>B41-C41</f>
        <v>3695.5714285714203</v>
      </c>
      <c r="E41" s="1">
        <f t="shared" si="0"/>
        <v>0.53375837576019991</v>
      </c>
    </row>
    <row r="42" spans="1:5" x14ac:dyDescent="0.3">
      <c r="A42" s="6" t="s">
        <v>5</v>
      </c>
      <c r="B42" s="7">
        <f>SUM(B43:B48)</f>
        <v>56597.493975903373</v>
      </c>
      <c r="C42" s="7">
        <f>SUM(C43:C48)</f>
        <v>20804.024096385343</v>
      </c>
      <c r="D42" s="7">
        <f>SUM(D43:D48)</f>
        <v>35793.46987951803</v>
      </c>
      <c r="E42" s="1">
        <f t="shared" si="0"/>
        <v>0.63242146188941251</v>
      </c>
    </row>
    <row r="43" spans="1:5" x14ac:dyDescent="0.3">
      <c r="A43">
        <v>2019</v>
      </c>
      <c r="B43" s="2">
        <v>0</v>
      </c>
      <c r="C43" s="2">
        <v>55</v>
      </c>
      <c r="D43" s="2">
        <v>-55</v>
      </c>
      <c r="E43" s="1" t="e">
        <f t="shared" si="0"/>
        <v>#DIV/0!</v>
      </c>
    </row>
    <row r="44" spans="1:5" x14ac:dyDescent="0.3">
      <c r="A44">
        <v>2023</v>
      </c>
      <c r="B44" s="2">
        <v>8929</v>
      </c>
      <c r="C44" s="2">
        <v>2240</v>
      </c>
      <c r="D44" s="2">
        <v>6689</v>
      </c>
      <c r="E44" s="1">
        <f t="shared" si="0"/>
        <v>0.7491320416620002</v>
      </c>
    </row>
    <row r="45" spans="1:5" x14ac:dyDescent="0.3">
      <c r="A45">
        <v>2024</v>
      </c>
      <c r="B45" s="2">
        <v>12026</v>
      </c>
      <c r="C45" s="2">
        <v>5805</v>
      </c>
      <c r="D45" s="2">
        <v>6221</v>
      </c>
      <c r="E45" s="1">
        <f t="shared" si="0"/>
        <v>0.51729585897222685</v>
      </c>
    </row>
    <row r="46" spans="1:5" x14ac:dyDescent="0.3">
      <c r="A46">
        <v>2025</v>
      </c>
      <c r="B46" s="2">
        <v>8181</v>
      </c>
      <c r="C46" s="2">
        <v>2552</v>
      </c>
      <c r="D46" s="2">
        <v>5629</v>
      </c>
      <c r="E46" s="1">
        <f t="shared" si="0"/>
        <v>0.68805769465835476</v>
      </c>
    </row>
    <row r="47" spans="1:5" x14ac:dyDescent="0.3">
      <c r="A47">
        <v>2026</v>
      </c>
      <c r="B47" s="2">
        <f>_xlfn.FORECAST.LINEAR(A47,B43:B46,A43:A46)</f>
        <v>12871.180722891819</v>
      </c>
      <c r="C47" s="2">
        <f>_xlfn.FORECAST.LINEAR(A47,C43:C46,A43:A46)</f>
        <v>4754.2771084336564</v>
      </c>
      <c r="D47" s="2">
        <f>B47-C47</f>
        <v>8116.9036144581623</v>
      </c>
      <c r="E47" s="1">
        <f>D47/B47</f>
        <v>0.63062618645560475</v>
      </c>
    </row>
    <row r="48" spans="1:5" x14ac:dyDescent="0.3">
      <c r="A48">
        <v>2027</v>
      </c>
      <c r="B48" s="2">
        <f>_xlfn.FORECAST.LINEAR(A48,B43:B47,A43:A47)</f>
        <v>14590.313253011554</v>
      </c>
      <c r="C48" s="2">
        <f>_xlfn.FORECAST.LINEAR(A48,C43:C47,A43:A47)</f>
        <v>5397.7469879516866</v>
      </c>
      <c r="D48" s="2">
        <f>B48-C48</f>
        <v>9192.5662650598679</v>
      </c>
      <c r="E48" s="1">
        <f>D48/B48</f>
        <v>0.6300458465593568</v>
      </c>
    </row>
    <row r="49" spans="1:5" x14ac:dyDescent="0.3">
      <c r="A49" s="6" t="s">
        <v>6</v>
      </c>
      <c r="B49" s="7">
        <f>SUM(B50:B58)</f>
        <v>572033.24999999814</v>
      </c>
      <c r="C49" s="7">
        <f>SUM(C50:C58)</f>
        <v>291768.10714285634</v>
      </c>
      <c r="D49" s="7">
        <f>SUM(D50:D58)</f>
        <v>280265.14285714179</v>
      </c>
      <c r="E49" s="1">
        <f t="shared" si="0"/>
        <v>0.48994554574780874</v>
      </c>
    </row>
    <row r="50" spans="1:5" x14ac:dyDescent="0.3">
      <c r="A50">
        <v>2019</v>
      </c>
      <c r="B50" s="2">
        <v>89942</v>
      </c>
      <c r="C50" s="2">
        <v>50266</v>
      </c>
      <c r="D50" s="2">
        <v>39676</v>
      </c>
      <c r="E50" s="1">
        <f t="shared" si="0"/>
        <v>0.44112872740210357</v>
      </c>
    </row>
    <row r="51" spans="1:5" x14ac:dyDescent="0.3">
      <c r="A51">
        <v>2020</v>
      </c>
      <c r="B51" s="2">
        <v>95435</v>
      </c>
      <c r="C51" s="2">
        <v>49336</v>
      </c>
      <c r="D51" s="2">
        <v>46099</v>
      </c>
      <c r="E51" s="1">
        <f t="shared" si="0"/>
        <v>0.4830408131188767</v>
      </c>
    </row>
    <row r="52" spans="1:5" x14ac:dyDescent="0.3">
      <c r="A52">
        <v>2021</v>
      </c>
      <c r="B52" s="2">
        <v>81693</v>
      </c>
      <c r="C52" s="2">
        <v>41712</v>
      </c>
      <c r="D52" s="2">
        <v>39981</v>
      </c>
      <c r="E52" s="1">
        <f t="shared" si="0"/>
        <v>0.48940545701590099</v>
      </c>
    </row>
    <row r="53" spans="1:5" x14ac:dyDescent="0.3">
      <c r="A53">
        <v>2022</v>
      </c>
      <c r="B53" s="2">
        <v>73035</v>
      </c>
      <c r="C53" s="2">
        <v>41446</v>
      </c>
      <c r="D53" s="2">
        <v>31589</v>
      </c>
      <c r="E53" s="1">
        <f t="shared" si="0"/>
        <v>0.43251865543917301</v>
      </c>
    </row>
    <row r="54" spans="1:5" x14ac:dyDescent="0.3">
      <c r="A54">
        <v>2023</v>
      </c>
      <c r="B54" s="2">
        <v>49846</v>
      </c>
      <c r="C54" s="2">
        <v>25070</v>
      </c>
      <c r="D54" s="2">
        <v>24776</v>
      </c>
      <c r="E54" s="1">
        <f t="shared" si="0"/>
        <v>0.49705091682381736</v>
      </c>
    </row>
    <row r="55" spans="1:5" x14ac:dyDescent="0.3">
      <c r="A55">
        <v>2024</v>
      </c>
      <c r="B55" s="2">
        <v>54354</v>
      </c>
      <c r="C55" s="2">
        <v>29801</v>
      </c>
      <c r="D55" s="2">
        <v>24553</v>
      </c>
      <c r="E55" s="1">
        <f t="shared" si="0"/>
        <v>0.45172388416675868</v>
      </c>
    </row>
    <row r="56" spans="1:5" x14ac:dyDescent="0.3">
      <c r="A56">
        <v>2025</v>
      </c>
      <c r="B56" s="2">
        <v>55182</v>
      </c>
      <c r="C56" s="2">
        <v>23387</v>
      </c>
      <c r="D56" s="2">
        <v>31795</v>
      </c>
      <c r="E56" s="1">
        <f t="shared" si="0"/>
        <v>0.57618426298430647</v>
      </c>
    </row>
    <row r="57" spans="1:5" x14ac:dyDescent="0.3">
      <c r="A57">
        <v>2026</v>
      </c>
      <c r="B57" s="2">
        <f>_xlfn.FORECAST.LINEAR(A57,B50:B56,A50:A56)</f>
        <v>40171.142857141793</v>
      </c>
      <c r="C57" s="2">
        <f>_xlfn.FORECAST.LINEAR(A57,C50:C56,A50:A56)</f>
        <v>17809.857142856345</v>
      </c>
      <c r="D57" s="2">
        <f>B57-C57</f>
        <v>22361.285714285448</v>
      </c>
      <c r="E57" s="1">
        <f t="shared" si="0"/>
        <v>0.556650474043209</v>
      </c>
    </row>
    <row r="58" spans="1:5" x14ac:dyDescent="0.3">
      <c r="A58">
        <v>2027</v>
      </c>
      <c r="B58" s="2">
        <f>_xlfn.FORECAST.LINEAR(A58,B50:B57,A50:A57)</f>
        <v>32375.107142856345</v>
      </c>
      <c r="C58" s="2">
        <f>_xlfn.FORECAST.LINEAR(A58,C50:C57,A50:A57)</f>
        <v>12940.25</v>
      </c>
      <c r="D58" s="2">
        <f>B58-C58</f>
        <v>19434.857142856345</v>
      </c>
      <c r="E58" s="1">
        <f t="shared" si="0"/>
        <v>0.60030248107286033</v>
      </c>
    </row>
    <row r="59" spans="1:5" x14ac:dyDescent="0.3">
      <c r="A59" s="13" t="s">
        <v>7</v>
      </c>
      <c r="B59" s="7">
        <f>SUM(B60:B67)</f>
        <v>74579.714285714435</v>
      </c>
      <c r="C59" s="7">
        <f>SUM(C60:C67)</f>
        <v>28628.21428571429</v>
      </c>
      <c r="D59" s="7">
        <f>SUM(D60:D67)</f>
        <v>45951.500000000146</v>
      </c>
      <c r="E59" s="1">
        <f t="shared" si="0"/>
        <v>0.61613939447341171</v>
      </c>
    </row>
    <row r="60" spans="1:5" x14ac:dyDescent="0.3">
      <c r="A60">
        <v>2019</v>
      </c>
      <c r="B60" s="2">
        <v>0</v>
      </c>
      <c r="C60" s="2">
        <v>75</v>
      </c>
      <c r="D60" s="2">
        <v>-75</v>
      </c>
      <c r="E60" s="1" t="e">
        <f t="shared" si="0"/>
        <v>#DIV/0!</v>
      </c>
    </row>
    <row r="61" spans="1:5" x14ac:dyDescent="0.3">
      <c r="A61">
        <v>2021</v>
      </c>
      <c r="B61" s="2">
        <v>16747</v>
      </c>
      <c r="C61" s="2">
        <v>8987</v>
      </c>
      <c r="D61" s="2">
        <v>7760</v>
      </c>
      <c r="E61" s="1">
        <f t="shared" si="0"/>
        <v>0.46336657311757329</v>
      </c>
    </row>
    <row r="62" spans="1:5" x14ac:dyDescent="0.3">
      <c r="A62">
        <v>2022</v>
      </c>
      <c r="B62" s="2">
        <v>8550</v>
      </c>
      <c r="C62" s="2">
        <v>1505</v>
      </c>
      <c r="D62" s="2">
        <v>7045</v>
      </c>
      <c r="E62" s="1">
        <f t="shared" si="0"/>
        <v>0.82397660818713447</v>
      </c>
    </row>
    <row r="63" spans="1:5" x14ac:dyDescent="0.3">
      <c r="A63">
        <v>2023</v>
      </c>
      <c r="B63" s="2">
        <v>8891</v>
      </c>
      <c r="C63" s="2">
        <v>4162</v>
      </c>
      <c r="D63" s="2">
        <v>4729</v>
      </c>
      <c r="E63" s="1">
        <f t="shared" si="0"/>
        <v>0.53188617703295471</v>
      </c>
    </row>
    <row r="64" spans="1:5" x14ac:dyDescent="0.3">
      <c r="A64">
        <v>2024</v>
      </c>
      <c r="B64" s="2">
        <v>18600</v>
      </c>
      <c r="C64" s="2">
        <v>6316</v>
      </c>
      <c r="D64" s="2">
        <v>12284</v>
      </c>
      <c r="E64" s="1">
        <f t="shared" si="0"/>
        <v>0.66043010752688169</v>
      </c>
    </row>
    <row r="65" spans="1:5" x14ac:dyDescent="0.3">
      <c r="A65">
        <v>2025</v>
      </c>
      <c r="B65" s="2">
        <v>0</v>
      </c>
      <c r="C65" s="2">
        <v>160</v>
      </c>
      <c r="D65" s="2">
        <v>-160</v>
      </c>
      <c r="E65" s="1" t="e">
        <f t="shared" si="0"/>
        <v>#DIV/0!</v>
      </c>
    </row>
    <row r="66" spans="1:5" x14ac:dyDescent="0.3">
      <c r="A66">
        <v>2026</v>
      </c>
      <c r="B66" s="2">
        <f>_xlfn.FORECAST.LINEAR(A66,B60:B65,A60:A65)</f>
        <v>10644.114285714342</v>
      </c>
      <c r="C66" s="17">
        <f>_xlfn.FORECAST.LINEAR(A66,C60:C65,A60:A65)</f>
        <v>3690.3142857142957</v>
      </c>
      <c r="D66" s="2">
        <f>B66-C66</f>
        <v>6953.8000000000466</v>
      </c>
      <c r="E66" s="1">
        <f t="shared" si="0"/>
        <v>0.653300012884385</v>
      </c>
    </row>
    <row r="67" spans="1:5" x14ac:dyDescent="0.3">
      <c r="A67">
        <v>2027</v>
      </c>
      <c r="B67" s="2">
        <f>_xlfn.FORECAST.LINEAR(A67,B60:B66,A60:A66)</f>
        <v>11147.600000000093</v>
      </c>
      <c r="C67" s="17">
        <f>_xlfn.FORECAST.LINEAR(A67,C60:C66,A60:A66)</f>
        <v>3732.8999999999942</v>
      </c>
      <c r="D67" s="2">
        <f>B67-C67</f>
        <v>7414.700000000099</v>
      </c>
      <c r="E67" s="1">
        <f t="shared" si="0"/>
        <v>0.66513868455990854</v>
      </c>
    </row>
    <row r="68" spans="1:5" x14ac:dyDescent="0.3">
      <c r="A68" s="6" t="s">
        <v>8</v>
      </c>
      <c r="B68" s="7">
        <f>SUM(B69:B77)</f>
        <v>412257.21428571455</v>
      </c>
      <c r="C68" s="7">
        <f>SUM(C69:C77)</f>
        <v>178112.57142857136</v>
      </c>
      <c r="D68" s="7">
        <f>SUM(D69:D77)</f>
        <v>234144.64285714319</v>
      </c>
      <c r="E68" s="1">
        <f t="shared" si="0"/>
        <v>0.56795766027485317</v>
      </c>
    </row>
    <row r="69" spans="1:5" x14ac:dyDescent="0.3">
      <c r="A69">
        <v>2019</v>
      </c>
      <c r="B69" s="2">
        <v>66696</v>
      </c>
      <c r="C69" s="2">
        <v>27082</v>
      </c>
      <c r="D69" s="2">
        <v>39614</v>
      </c>
      <c r="E69" s="1">
        <f t="shared" si="0"/>
        <v>0.59394866258846113</v>
      </c>
    </row>
    <row r="70" spans="1:5" x14ac:dyDescent="0.3">
      <c r="A70">
        <v>2020</v>
      </c>
      <c r="B70" s="2">
        <v>43197</v>
      </c>
      <c r="C70" s="2">
        <v>17205</v>
      </c>
      <c r="D70" s="2">
        <v>25992</v>
      </c>
      <c r="E70" s="1">
        <f t="shared" si="0"/>
        <v>0.60170845197583167</v>
      </c>
    </row>
    <row r="71" spans="1:5" x14ac:dyDescent="0.3">
      <c r="A71">
        <v>2021</v>
      </c>
      <c r="B71" s="2">
        <v>41470</v>
      </c>
      <c r="C71" s="2">
        <v>16852</v>
      </c>
      <c r="D71" s="2">
        <v>24618</v>
      </c>
      <c r="E71" s="1">
        <f t="shared" si="0"/>
        <v>0.59363395225464188</v>
      </c>
    </row>
    <row r="72" spans="1:5" x14ac:dyDescent="0.3">
      <c r="A72">
        <v>2022</v>
      </c>
      <c r="B72" s="2">
        <v>51742</v>
      </c>
      <c r="C72" s="2">
        <v>22509</v>
      </c>
      <c r="D72" s="2">
        <v>29233</v>
      </c>
      <c r="E72" s="1">
        <f t="shared" si="0"/>
        <v>0.5649762282091918</v>
      </c>
    </row>
    <row r="73" spans="1:5" x14ac:dyDescent="0.3">
      <c r="A73">
        <v>2023</v>
      </c>
      <c r="B73" s="2">
        <v>43652</v>
      </c>
      <c r="C73" s="2">
        <v>19104</v>
      </c>
      <c r="D73" s="2">
        <v>24548</v>
      </c>
      <c r="E73" s="1">
        <f t="shared" si="0"/>
        <v>0.56235682213873361</v>
      </c>
    </row>
    <row r="74" spans="1:5" x14ac:dyDescent="0.3">
      <c r="A74">
        <v>2024</v>
      </c>
      <c r="B74" s="2">
        <v>50542</v>
      </c>
      <c r="C74" s="2">
        <v>20711</v>
      </c>
      <c r="D74" s="2">
        <v>29831</v>
      </c>
      <c r="E74" s="1">
        <f t="shared" si="0"/>
        <v>0.5902219935894899</v>
      </c>
    </row>
    <row r="75" spans="1:5" x14ac:dyDescent="0.3">
      <c r="A75">
        <v>2025</v>
      </c>
      <c r="B75" s="2">
        <v>39514</v>
      </c>
      <c r="C75" s="2">
        <v>18894</v>
      </c>
      <c r="D75" s="2">
        <v>20620</v>
      </c>
      <c r="E75" s="1">
        <f t="shared" si="0"/>
        <v>0.52184036037860004</v>
      </c>
    </row>
    <row r="76" spans="1:5" x14ac:dyDescent="0.3">
      <c r="A76">
        <v>2026</v>
      </c>
      <c r="B76" s="2">
        <f>_xlfn.FORECAST.LINEAR(A76,B69:B75,A69:A75)</f>
        <v>38877</v>
      </c>
      <c r="C76" s="2">
        <f>_xlfn.FORECAST.LINEAR(A76,C69:C75,A69:A75)</f>
        <v>18151</v>
      </c>
      <c r="D76" s="2">
        <f>B76-C76</f>
        <v>20726</v>
      </c>
      <c r="E76" s="1">
        <f t="shared" si="0"/>
        <v>0.53311726727885378</v>
      </c>
    </row>
    <row r="77" spans="1:5" x14ac:dyDescent="0.3">
      <c r="A77">
        <v>2027</v>
      </c>
      <c r="B77" s="2">
        <f>_xlfn.FORECAST.LINEAR(A77,B69:B76,A69:A76)</f>
        <v>36567.214285714552</v>
      </c>
      <c r="C77" s="2">
        <f>_xlfn.FORECAST.LINEAR(A77,C69:C76,A69:A76)</f>
        <v>17604.571428571362</v>
      </c>
      <c r="D77" s="2">
        <f>B77-C77</f>
        <v>18962.64285714319</v>
      </c>
      <c r="E77" s="1">
        <f t="shared" si="0"/>
        <v>0.51856952265984313</v>
      </c>
    </row>
    <row r="78" spans="1:5" x14ac:dyDescent="0.3">
      <c r="A78" s="6" t="s">
        <v>9</v>
      </c>
      <c r="B78" s="7">
        <f>SUM(B79:B87)</f>
        <v>73028.250000000233</v>
      </c>
      <c r="C78" s="7">
        <f>SUM(C79:C87)</f>
        <v>27623.571428571362</v>
      </c>
      <c r="D78" s="7">
        <f>SUM(D79:D87)</f>
        <v>45404.678571428871</v>
      </c>
      <c r="E78" s="1">
        <f t="shared" si="0"/>
        <v>0.62174129287541091</v>
      </c>
    </row>
    <row r="79" spans="1:5" x14ac:dyDescent="0.3">
      <c r="A79">
        <v>2019</v>
      </c>
      <c r="B79" s="2">
        <v>8675</v>
      </c>
      <c r="C79" s="2">
        <v>5211</v>
      </c>
      <c r="D79" s="2">
        <v>3464</v>
      </c>
      <c r="E79" s="1">
        <f t="shared" si="0"/>
        <v>0.39930835734870318</v>
      </c>
    </row>
    <row r="80" spans="1:5" x14ac:dyDescent="0.3">
      <c r="A80">
        <v>2020</v>
      </c>
      <c r="B80" s="2">
        <v>3399</v>
      </c>
      <c r="C80" s="2">
        <v>2795</v>
      </c>
      <c r="D80" s="2">
        <v>604</v>
      </c>
      <c r="E80" s="1">
        <f t="shared" si="0"/>
        <v>0.17769932333039129</v>
      </c>
    </row>
    <row r="81" spans="1:5" x14ac:dyDescent="0.3">
      <c r="A81">
        <v>2021</v>
      </c>
      <c r="B81" s="2">
        <v>8875</v>
      </c>
      <c r="C81" s="2">
        <v>5512</v>
      </c>
      <c r="D81" s="2">
        <v>3363</v>
      </c>
      <c r="E81" s="1">
        <f t="shared" si="0"/>
        <v>0.37892957746478872</v>
      </c>
    </row>
    <row r="82" spans="1:5" x14ac:dyDescent="0.3">
      <c r="A82">
        <v>2022</v>
      </c>
      <c r="B82" s="2">
        <v>0</v>
      </c>
      <c r="C82" s="2">
        <v>83</v>
      </c>
      <c r="D82" s="2">
        <v>-83</v>
      </c>
      <c r="E82" s="1" t="e">
        <f t="shared" si="0"/>
        <v>#DIV/0!</v>
      </c>
    </row>
    <row r="83" spans="1:5" x14ac:dyDescent="0.3">
      <c r="A83">
        <v>2023</v>
      </c>
      <c r="B83" s="2">
        <v>3734</v>
      </c>
      <c r="C83" s="2">
        <v>1512</v>
      </c>
      <c r="D83" s="2">
        <v>2222</v>
      </c>
      <c r="E83" s="1">
        <f t="shared" ref="E83:E166" si="1">D83/B83</f>
        <v>0.59507230851633641</v>
      </c>
    </row>
    <row r="84" spans="1:5" x14ac:dyDescent="0.3">
      <c r="A84">
        <v>2024</v>
      </c>
      <c r="B84" s="2">
        <v>11159</v>
      </c>
      <c r="C84" s="2">
        <v>5198</v>
      </c>
      <c r="D84" s="2">
        <v>5961</v>
      </c>
      <c r="E84" s="1">
        <f t="shared" si="1"/>
        <v>0.53418765122322787</v>
      </c>
    </row>
    <row r="85" spans="1:5" x14ac:dyDescent="0.3">
      <c r="A85">
        <v>2025</v>
      </c>
      <c r="B85" s="2">
        <v>14211</v>
      </c>
      <c r="C85" s="2">
        <v>2789</v>
      </c>
      <c r="D85" s="2">
        <v>11422</v>
      </c>
      <c r="E85" s="1">
        <f t="shared" si="1"/>
        <v>0.80374357891773973</v>
      </c>
    </row>
    <row r="86" spans="1:5" x14ac:dyDescent="0.3">
      <c r="A86">
        <v>2026</v>
      </c>
      <c r="B86" s="2">
        <f>_xlfn.FORECAST.LINEAR(A86,B79:B85,A79:A85)</f>
        <v>11005.714285714319</v>
      </c>
      <c r="C86" s="2">
        <f>_xlfn.FORECAST.LINEAR(A86,C79:C85,A79:A85)</f>
        <v>2377.1428571428405</v>
      </c>
      <c r="D86" s="2">
        <f>B86-C86</f>
        <v>8628.5714285714785</v>
      </c>
      <c r="E86" s="1">
        <f t="shared" si="1"/>
        <v>0.78400830737279548</v>
      </c>
    </row>
    <row r="87" spans="1:5" x14ac:dyDescent="0.3">
      <c r="A87">
        <v>2027</v>
      </c>
      <c r="B87" s="2">
        <f>_xlfn.FORECAST.LINEAR(A87,B79:B86,A79:A86)</f>
        <v>11969.535714285914</v>
      </c>
      <c r="C87" s="2">
        <f>_xlfn.FORECAST.LINEAR(A87,C79:C86,A79:A86)</f>
        <v>2146.4285714285215</v>
      </c>
      <c r="D87" s="2">
        <f>B87-C87</f>
        <v>9823.1071428573923</v>
      </c>
      <c r="E87" s="1">
        <f t="shared" si="1"/>
        <v>0.82067570349727847</v>
      </c>
    </row>
    <row r="88" spans="1:5" x14ac:dyDescent="0.3">
      <c r="A88" s="6" t="s">
        <v>10</v>
      </c>
      <c r="B88" s="7">
        <f>SUM(B89:B97)</f>
        <v>262544.78571428591</v>
      </c>
      <c r="C88" s="7">
        <f>SUM(C89:C97)</f>
        <v>127899.32142857159</v>
      </c>
      <c r="D88" s="7">
        <f>SUM(D89:D97)</f>
        <v>134645.46428571432</v>
      </c>
      <c r="E88" s="1">
        <f t="shared" si="1"/>
        <v>0.51284760395981399</v>
      </c>
    </row>
    <row r="89" spans="1:5" x14ac:dyDescent="0.3">
      <c r="A89">
        <v>2019</v>
      </c>
      <c r="B89" s="2">
        <v>40834</v>
      </c>
      <c r="C89" s="2">
        <v>19838</v>
      </c>
      <c r="D89" s="2">
        <v>20996</v>
      </c>
      <c r="E89" s="1">
        <f t="shared" si="1"/>
        <v>0.51417936033697409</v>
      </c>
    </row>
    <row r="90" spans="1:5" x14ac:dyDescent="0.3">
      <c r="A90">
        <v>2020</v>
      </c>
      <c r="B90" s="2">
        <v>30541</v>
      </c>
      <c r="C90" s="2">
        <v>13329</v>
      </c>
      <c r="D90" s="2">
        <v>17212</v>
      </c>
      <c r="E90" s="1">
        <f t="shared" si="1"/>
        <v>0.56357028257097019</v>
      </c>
    </row>
    <row r="91" spans="1:5" x14ac:dyDescent="0.3">
      <c r="A91">
        <v>2021</v>
      </c>
      <c r="B91" s="2">
        <v>33111</v>
      </c>
      <c r="C91" s="2">
        <v>15886</v>
      </c>
      <c r="D91" s="2">
        <v>17225</v>
      </c>
      <c r="E91" s="1">
        <f t="shared" si="1"/>
        <v>0.52021986650961916</v>
      </c>
    </row>
    <row r="92" spans="1:5" x14ac:dyDescent="0.3">
      <c r="A92">
        <v>2022</v>
      </c>
      <c r="B92" s="2">
        <v>31504</v>
      </c>
      <c r="C92" s="2">
        <v>15915</v>
      </c>
      <c r="D92" s="2">
        <v>15589</v>
      </c>
      <c r="E92" s="1">
        <f t="shared" si="1"/>
        <v>0.49482605383443373</v>
      </c>
    </row>
    <row r="93" spans="1:5" x14ac:dyDescent="0.3">
      <c r="A93">
        <v>2023</v>
      </c>
      <c r="B93" s="2">
        <v>28806</v>
      </c>
      <c r="C93" s="2">
        <v>14213</v>
      </c>
      <c r="D93" s="2">
        <v>14593</v>
      </c>
      <c r="E93" s="1">
        <f t="shared" si="1"/>
        <v>0.50659584808720404</v>
      </c>
    </row>
    <row r="94" spans="1:5" x14ac:dyDescent="0.3">
      <c r="A94">
        <v>2024</v>
      </c>
      <c r="B94" s="2">
        <v>29640</v>
      </c>
      <c r="C94" s="2">
        <v>14545</v>
      </c>
      <c r="D94" s="2">
        <v>15095</v>
      </c>
      <c r="E94" s="1">
        <f t="shared" si="1"/>
        <v>0.50927800269905532</v>
      </c>
    </row>
    <row r="95" spans="1:5" x14ac:dyDescent="0.3">
      <c r="A95">
        <v>2025</v>
      </c>
      <c r="B95" s="2">
        <v>23953</v>
      </c>
      <c r="C95" s="2">
        <v>11680</v>
      </c>
      <c r="D95" s="2">
        <v>12273</v>
      </c>
      <c r="E95" s="1">
        <f t="shared" si="1"/>
        <v>0.51237840771510879</v>
      </c>
    </row>
    <row r="96" spans="1:5" x14ac:dyDescent="0.3">
      <c r="A96">
        <v>2026</v>
      </c>
      <c r="B96" s="2">
        <f>_xlfn.FORECAST.LINEAR(A96,B89:B95,A89:A95)</f>
        <v>23091.285714285914</v>
      </c>
      <c r="C96" s="2">
        <f>_xlfn.FORECAST.LINEAR(A96,C89:C95,A89:A95)</f>
        <v>11670.142857142957</v>
      </c>
      <c r="D96" s="2">
        <f>B96-C96</f>
        <v>11421.142857142957</v>
      </c>
      <c r="E96" s="1">
        <f t="shared" si="1"/>
        <v>0.49460835565674133</v>
      </c>
    </row>
    <row r="97" spans="1:13" x14ac:dyDescent="0.3">
      <c r="A97">
        <v>2027</v>
      </c>
      <c r="B97" s="2">
        <f>_xlfn.FORECAST.LINEAR(A97,B89:B96,A89:A96)</f>
        <v>21064.5</v>
      </c>
      <c r="C97" s="2">
        <f>_xlfn.FORECAST.LINEAR(A97,C89:C96,A89:A96)</f>
        <v>10823.178571428638</v>
      </c>
      <c r="D97" s="2">
        <f>B97-C97</f>
        <v>10241.321428571362</v>
      </c>
      <c r="E97" s="1">
        <f t="shared" si="1"/>
        <v>0.48618867898935947</v>
      </c>
    </row>
    <row r="98" spans="1:13" ht="14.4" customHeight="1" x14ac:dyDescent="0.3">
      <c r="A98" s="13" t="s">
        <v>11</v>
      </c>
      <c r="B98" s="7">
        <v>22004</v>
      </c>
      <c r="C98" s="7">
        <v>12417</v>
      </c>
      <c r="D98" s="7">
        <v>9587</v>
      </c>
      <c r="E98" s="1">
        <f t="shared" si="1"/>
        <v>0.43569351027085984</v>
      </c>
      <c r="F98" s="70" t="s">
        <v>186</v>
      </c>
      <c r="G98" s="70"/>
      <c r="H98" s="70"/>
      <c r="I98" s="70"/>
      <c r="J98" s="70"/>
      <c r="K98" s="70"/>
      <c r="L98" s="70"/>
      <c r="M98" s="19"/>
    </row>
    <row r="99" spans="1:13" ht="14.4" customHeight="1" x14ac:dyDescent="0.3">
      <c r="A99">
        <v>2019</v>
      </c>
      <c r="B99" s="2">
        <v>0</v>
      </c>
      <c r="C99" s="2">
        <v>6</v>
      </c>
      <c r="D99" s="2">
        <v>-6</v>
      </c>
      <c r="E99" s="1" t="e">
        <f t="shared" si="1"/>
        <v>#DIV/0!</v>
      </c>
      <c r="F99" s="70"/>
      <c r="G99" s="70"/>
      <c r="H99" s="70"/>
      <c r="I99" s="70"/>
      <c r="J99" s="70"/>
      <c r="K99" s="70"/>
      <c r="L99" s="70"/>
      <c r="M99" s="19"/>
    </row>
    <row r="100" spans="1:13" x14ac:dyDescent="0.3">
      <c r="A100">
        <v>2020</v>
      </c>
      <c r="B100" s="2">
        <v>12400</v>
      </c>
      <c r="C100" s="2">
        <v>6433</v>
      </c>
      <c r="D100" s="2">
        <v>5967</v>
      </c>
      <c r="E100" s="1">
        <f t="shared" si="1"/>
        <v>0.48120967741935483</v>
      </c>
      <c r="F100" s="18"/>
      <c r="G100" s="16" t="s">
        <v>131</v>
      </c>
      <c r="H100" s="16" t="s">
        <v>128</v>
      </c>
      <c r="I100" t="s">
        <v>129</v>
      </c>
      <c r="J100" t="s">
        <v>130</v>
      </c>
    </row>
    <row r="101" spans="1:13" x14ac:dyDescent="0.3">
      <c r="A101">
        <v>2021</v>
      </c>
      <c r="B101" s="2">
        <v>9604</v>
      </c>
      <c r="C101" s="2">
        <v>5872</v>
      </c>
      <c r="D101" s="2">
        <v>3732</v>
      </c>
      <c r="E101" s="1">
        <f t="shared" si="1"/>
        <v>0.38858808829654312</v>
      </c>
      <c r="F101" s="18">
        <v>2026</v>
      </c>
      <c r="G101" s="16">
        <f>B101*(0.84)</f>
        <v>8067.36</v>
      </c>
      <c r="H101" s="16">
        <f>C101*(0.84)</f>
        <v>4932.4799999999996</v>
      </c>
      <c r="I101" s="16">
        <f>G101-H101</f>
        <v>3134.88</v>
      </c>
      <c r="J101" s="1">
        <f>I101/G101</f>
        <v>0.38858808829654312</v>
      </c>
    </row>
    <row r="102" spans="1:13" x14ac:dyDescent="0.3">
      <c r="A102">
        <v>2022</v>
      </c>
      <c r="B102" s="2">
        <v>0</v>
      </c>
      <c r="C102" s="2">
        <v>76</v>
      </c>
      <c r="D102" s="2">
        <v>-76</v>
      </c>
      <c r="E102" s="1" t="e">
        <f t="shared" si="1"/>
        <v>#DIV/0!</v>
      </c>
      <c r="F102" s="18">
        <v>2027</v>
      </c>
      <c r="G102" s="16">
        <f>G101*(0.58)</f>
        <v>4679.0687999999991</v>
      </c>
      <c r="H102" s="16">
        <f>H101*(0.58)</f>
        <v>2860.8383999999996</v>
      </c>
      <c r="I102" s="16">
        <f>G102-H102</f>
        <v>1818.2303999999995</v>
      </c>
      <c r="J102" s="1">
        <f>I102/G102</f>
        <v>0.38858808829654307</v>
      </c>
    </row>
    <row r="103" spans="1:13" x14ac:dyDescent="0.3">
      <c r="A103">
        <v>2023</v>
      </c>
      <c r="B103" s="2">
        <v>0</v>
      </c>
      <c r="C103" s="2">
        <v>24</v>
      </c>
      <c r="D103" s="2">
        <v>-24</v>
      </c>
      <c r="E103" s="1" t="e">
        <f t="shared" si="1"/>
        <v>#DIV/0!</v>
      </c>
      <c r="F103" s="19"/>
      <c r="G103" s="19"/>
      <c r="H103" s="19"/>
      <c r="I103" s="19"/>
      <c r="J103" s="19"/>
      <c r="K103" s="19"/>
      <c r="L103" s="19"/>
      <c r="M103" s="19"/>
    </row>
    <row r="104" spans="1:13" x14ac:dyDescent="0.3">
      <c r="A104">
        <v>2025</v>
      </c>
      <c r="B104" s="2">
        <v>0</v>
      </c>
      <c r="C104" s="2">
        <v>6</v>
      </c>
      <c r="D104" s="2">
        <v>-6</v>
      </c>
      <c r="E104" s="1" t="e">
        <f t="shared" si="1"/>
        <v>#DIV/0!</v>
      </c>
      <c r="F104" s="19"/>
      <c r="G104" s="19"/>
      <c r="H104" s="19"/>
      <c r="I104" s="19"/>
      <c r="J104" s="19"/>
      <c r="K104" s="19"/>
      <c r="L104" s="19"/>
      <c r="M104" s="19"/>
    </row>
    <row r="105" spans="1:13" x14ac:dyDescent="0.3">
      <c r="A105" s="13">
        <v>2026</v>
      </c>
      <c r="B105" s="14">
        <f>_xlfn.FORECAST.LINEAR(A105,B99:B104,A99:A104)</f>
        <v>-1359.8285714280792</v>
      </c>
      <c r="C105" s="14">
        <f>_xlfn.FORECAST.LINEAR(A105,C99:C104,A99:A104)</f>
        <v>-637.28571428568102</v>
      </c>
      <c r="D105" s="14">
        <f>B105-C105</f>
        <v>-722.54285714239813</v>
      </c>
      <c r="E105" s="1">
        <f t="shared" si="1"/>
        <v>0.53134848930522938</v>
      </c>
      <c r="F105" s="65"/>
      <c r="G105" s="65"/>
      <c r="H105" s="65"/>
      <c r="I105" s="65"/>
      <c r="J105" s="65"/>
    </row>
    <row r="106" spans="1:13" x14ac:dyDescent="0.3">
      <c r="A106" s="13">
        <v>2027</v>
      </c>
      <c r="B106" s="14">
        <f>_xlfn.FORECAST.LINEAR(A106,B99:B105,A99:A105)</f>
        <v>-2519.9428571425378</v>
      </c>
      <c r="C106" s="14">
        <f>_xlfn.FORECAST.LINEAR(A106,C99:C105,A99:A105)</f>
        <v>-1261.9285714284051</v>
      </c>
      <c r="D106" s="14">
        <f>B106-C106</f>
        <v>-1258.0142857141327</v>
      </c>
      <c r="E106" s="1">
        <f t="shared" si="1"/>
        <v>0.49922333839769861</v>
      </c>
    </row>
    <row r="107" spans="1:13" ht="14.4" customHeight="1" x14ac:dyDescent="0.3">
      <c r="A107" s="6" t="s">
        <v>90</v>
      </c>
      <c r="B107" s="7">
        <v>11620</v>
      </c>
      <c r="C107" s="7">
        <v>1635</v>
      </c>
      <c r="D107" s="7">
        <v>9985</v>
      </c>
      <c r="E107" s="1">
        <f t="shared" si="1"/>
        <v>0.85929432013769358</v>
      </c>
      <c r="F107" s="68" t="s">
        <v>186</v>
      </c>
      <c r="G107" s="68"/>
      <c r="H107" s="68"/>
      <c r="I107" s="68"/>
      <c r="J107" s="68"/>
      <c r="K107" s="19"/>
      <c r="L107" s="19"/>
    </row>
    <row r="108" spans="1:13" x14ac:dyDescent="0.3">
      <c r="A108">
        <v>2025</v>
      </c>
      <c r="B108" s="2">
        <v>11620</v>
      </c>
      <c r="C108" s="2">
        <v>1635</v>
      </c>
      <c r="D108" s="2">
        <v>9985</v>
      </c>
      <c r="E108" s="1">
        <f t="shared" si="1"/>
        <v>0.85929432013769358</v>
      </c>
      <c r="F108" s="19"/>
      <c r="G108" s="19"/>
      <c r="H108" s="19"/>
      <c r="I108" s="19"/>
      <c r="J108" s="19"/>
      <c r="K108" s="19"/>
      <c r="L108" s="19"/>
    </row>
    <row r="109" spans="1:13" x14ac:dyDescent="0.3">
      <c r="A109">
        <v>2026</v>
      </c>
      <c r="B109" s="2">
        <f>B108*(952/1000)</f>
        <v>11062.24</v>
      </c>
      <c r="C109" s="2">
        <f>C108*(952/1000)</f>
        <v>1556.52</v>
      </c>
      <c r="D109" s="2">
        <f>B109-C109</f>
        <v>9505.7199999999993</v>
      </c>
      <c r="E109" s="1">
        <f t="shared" si="1"/>
        <v>0.85929432013769358</v>
      </c>
      <c r="G109" s="65"/>
      <c r="H109" s="65"/>
      <c r="I109" s="65"/>
      <c r="J109" s="65"/>
    </row>
    <row r="110" spans="1:13" x14ac:dyDescent="0.3">
      <c r="A110">
        <v>2027</v>
      </c>
      <c r="B110" s="2">
        <f>B109*(992/1000)</f>
        <v>10973.74208</v>
      </c>
      <c r="C110" s="2">
        <f>C109*(992/1000)</f>
        <v>1544.0678399999999</v>
      </c>
      <c r="D110" s="2">
        <f>B110-C110</f>
        <v>9429.6742400000003</v>
      </c>
      <c r="E110" s="1">
        <f t="shared" si="1"/>
        <v>0.85929432013769369</v>
      </c>
    </row>
    <row r="111" spans="1:13" x14ac:dyDescent="0.3">
      <c r="A111" s="6" t="s">
        <v>12</v>
      </c>
      <c r="B111" s="7">
        <f>SUM(B112:B120)</f>
        <v>125693.03571428638</v>
      </c>
      <c r="C111" s="7">
        <f>SUM(C112:C120)</f>
        <v>46771.714285714552</v>
      </c>
      <c r="D111" s="7">
        <f>SUM(D112:D120)</f>
        <v>78921.321428571828</v>
      </c>
      <c r="E111" s="1">
        <f t="shared" si="1"/>
        <v>0.62788937334577843</v>
      </c>
    </row>
    <row r="112" spans="1:13" x14ac:dyDescent="0.3">
      <c r="A112">
        <v>2019</v>
      </c>
      <c r="B112" s="2">
        <v>1701</v>
      </c>
      <c r="C112" s="2">
        <v>810</v>
      </c>
      <c r="D112" s="2">
        <v>891</v>
      </c>
      <c r="E112" s="1">
        <f t="shared" si="1"/>
        <v>0.52380952380952384</v>
      </c>
    </row>
    <row r="113" spans="1:11" x14ac:dyDescent="0.3">
      <c r="A113">
        <v>2020</v>
      </c>
      <c r="B113" s="2">
        <v>9961</v>
      </c>
      <c r="C113" s="2">
        <v>2234</v>
      </c>
      <c r="D113" s="2">
        <v>7727</v>
      </c>
      <c r="E113" s="1">
        <f t="shared" si="1"/>
        <v>0.77572532878225076</v>
      </c>
    </row>
    <row r="114" spans="1:11" x14ac:dyDescent="0.3">
      <c r="A114">
        <v>2021</v>
      </c>
      <c r="B114" s="2">
        <v>11086</v>
      </c>
      <c r="C114" s="2">
        <v>4785</v>
      </c>
      <c r="D114" s="2">
        <v>6301</v>
      </c>
      <c r="E114" s="1">
        <f t="shared" si="1"/>
        <v>0.56837452642973119</v>
      </c>
    </row>
    <row r="115" spans="1:11" x14ac:dyDescent="0.3">
      <c r="A115">
        <v>2022</v>
      </c>
      <c r="B115" s="2">
        <v>14142</v>
      </c>
      <c r="C115" s="2">
        <v>6287</v>
      </c>
      <c r="D115" s="2">
        <v>7855</v>
      </c>
      <c r="E115" s="1">
        <f t="shared" si="1"/>
        <v>0.55543770329514919</v>
      </c>
    </row>
    <row r="116" spans="1:11" x14ac:dyDescent="0.3">
      <c r="A116">
        <v>2023</v>
      </c>
      <c r="B116" s="2">
        <v>40636</v>
      </c>
      <c r="C116" s="2">
        <v>10369</v>
      </c>
      <c r="D116" s="2">
        <v>30267</v>
      </c>
      <c r="E116" s="1">
        <f t="shared" si="1"/>
        <v>0.7448321685205237</v>
      </c>
    </row>
    <row r="117" spans="1:11" x14ac:dyDescent="0.3">
      <c r="A117">
        <v>2024</v>
      </c>
      <c r="B117" s="2">
        <v>12736</v>
      </c>
      <c r="C117" s="2">
        <v>8108</v>
      </c>
      <c r="D117" s="2">
        <v>4628</v>
      </c>
      <c r="E117" s="1">
        <f t="shared" si="1"/>
        <v>0.36337939698492461</v>
      </c>
    </row>
    <row r="118" spans="1:11" x14ac:dyDescent="0.3">
      <c r="A118">
        <v>2025</v>
      </c>
      <c r="B118" s="2">
        <v>0</v>
      </c>
      <c r="C118" s="2">
        <v>34</v>
      </c>
      <c r="D118" s="2">
        <v>-34</v>
      </c>
      <c r="E118" s="1" t="e">
        <f t="shared" si="1"/>
        <v>#DIV/0!</v>
      </c>
    </row>
    <row r="119" spans="1:11" x14ac:dyDescent="0.3">
      <c r="A119">
        <v>2026</v>
      </c>
      <c r="B119" s="2">
        <f>_xlfn.FORECAST.LINEAR(A119,B112:B118,A112:A118)</f>
        <v>17179.857142857276</v>
      </c>
      <c r="C119" s="2">
        <f>_xlfn.FORECAST.LINEAR(A119,C112:C118,A112:A118)</f>
        <v>6804.428571428638</v>
      </c>
      <c r="D119" s="2">
        <f>B119-C119</f>
        <v>10375.428571428638</v>
      </c>
      <c r="E119" s="1">
        <f t="shared" si="1"/>
        <v>0.60392985140405209</v>
      </c>
    </row>
    <row r="120" spans="1:11" x14ac:dyDescent="0.3">
      <c r="A120">
        <v>2027</v>
      </c>
      <c r="B120" s="2">
        <f>_xlfn.FORECAST.LINEAR(A120,B112:B119,A112:A119)</f>
        <v>18251.178571429104</v>
      </c>
      <c r="C120" s="2">
        <f>_xlfn.FORECAST.LINEAR(A120,C112:C119,A112:A119)</f>
        <v>7340.2857142859139</v>
      </c>
      <c r="D120" s="2">
        <f>B120-C120</f>
        <v>10910.89285714319</v>
      </c>
      <c r="E120" s="1">
        <f t="shared" si="1"/>
        <v>0.59781853618063885</v>
      </c>
    </row>
    <row r="121" spans="1:11" ht="14.4" customHeight="1" x14ac:dyDescent="0.3">
      <c r="A121" s="6" t="s">
        <v>91</v>
      </c>
      <c r="B121" s="7">
        <v>9378</v>
      </c>
      <c r="C121" s="7">
        <v>2978</v>
      </c>
      <c r="D121" s="7">
        <v>6400</v>
      </c>
      <c r="E121" s="1">
        <f t="shared" si="1"/>
        <v>0.68244828321603757</v>
      </c>
      <c r="F121" s="68" t="s">
        <v>186</v>
      </c>
      <c r="G121" s="68"/>
      <c r="H121" s="68"/>
      <c r="I121" s="68"/>
      <c r="J121" s="68"/>
      <c r="K121" s="19"/>
    </row>
    <row r="122" spans="1:11" x14ac:dyDescent="0.3">
      <c r="A122">
        <v>2025</v>
      </c>
      <c r="B122" s="2">
        <v>9378</v>
      </c>
      <c r="C122" s="2">
        <v>2978</v>
      </c>
      <c r="D122" s="2">
        <v>6400</v>
      </c>
      <c r="E122" s="1">
        <f t="shared" si="1"/>
        <v>0.68244828321603757</v>
      </c>
      <c r="F122" s="19"/>
      <c r="G122" s="19"/>
      <c r="H122" s="19"/>
      <c r="I122" s="19"/>
      <c r="J122" s="19"/>
      <c r="K122" s="19"/>
    </row>
    <row r="123" spans="1:11" x14ac:dyDescent="0.3">
      <c r="A123">
        <v>2026</v>
      </c>
      <c r="B123" s="2">
        <f>B122*(0.79)</f>
        <v>7408.62</v>
      </c>
      <c r="C123" s="2">
        <f>C122*(0.79)</f>
        <v>2352.62</v>
      </c>
      <c r="D123" s="2">
        <f>B123-C123</f>
        <v>5056</v>
      </c>
      <c r="E123" s="1">
        <f>D123/B123</f>
        <v>0.68244828321603757</v>
      </c>
    </row>
    <row r="124" spans="1:11" x14ac:dyDescent="0.3">
      <c r="A124">
        <v>2027</v>
      </c>
      <c r="B124" s="2">
        <f>B123*(0.59)</f>
        <v>4371.0857999999998</v>
      </c>
      <c r="C124" s="2">
        <f>C123*(0.59)</f>
        <v>1388.0457999999999</v>
      </c>
      <c r="D124" s="2">
        <f>B124-C124</f>
        <v>2983.04</v>
      </c>
      <c r="E124" s="1">
        <f>D124/B124</f>
        <v>0.68244828321603757</v>
      </c>
    </row>
    <row r="125" spans="1:11" x14ac:dyDescent="0.3">
      <c r="A125" s="6" t="s">
        <v>13</v>
      </c>
      <c r="B125" s="7">
        <f>SUM(B126:B134)</f>
        <v>419097.85714285728</v>
      </c>
      <c r="C125" s="7">
        <f>SUM(C126:C134)</f>
        <v>107919.64285714226</v>
      </c>
      <c r="D125" s="7">
        <f>SUM(D126:D134)</f>
        <v>311178.21428571502</v>
      </c>
      <c r="E125" s="1">
        <f t="shared" si="1"/>
        <v>0.74249535993128246</v>
      </c>
    </row>
    <row r="126" spans="1:11" x14ac:dyDescent="0.3">
      <c r="A126">
        <v>2019</v>
      </c>
      <c r="B126" s="2">
        <v>8566</v>
      </c>
      <c r="C126" s="2">
        <v>2171</v>
      </c>
      <c r="D126" s="2">
        <v>6395</v>
      </c>
      <c r="E126" s="1">
        <f t="shared" si="1"/>
        <v>0.74655615222974547</v>
      </c>
    </row>
    <row r="127" spans="1:11" x14ac:dyDescent="0.3">
      <c r="A127">
        <v>2020</v>
      </c>
      <c r="B127" s="2">
        <v>31617</v>
      </c>
      <c r="C127" s="2">
        <v>14205</v>
      </c>
      <c r="D127" s="2">
        <v>17412</v>
      </c>
      <c r="E127" s="1">
        <f t="shared" si="1"/>
        <v>0.55071638675396151</v>
      </c>
    </row>
    <row r="128" spans="1:11" x14ac:dyDescent="0.3">
      <c r="A128">
        <v>2021</v>
      </c>
      <c r="B128" s="2">
        <v>20964</v>
      </c>
      <c r="C128" s="2">
        <v>6215</v>
      </c>
      <c r="D128" s="2">
        <v>14749</v>
      </c>
      <c r="E128" s="1">
        <f t="shared" si="1"/>
        <v>0.70353940087769506</v>
      </c>
    </row>
    <row r="129" spans="1:11" x14ac:dyDescent="0.3">
      <c r="A129">
        <v>2022</v>
      </c>
      <c r="B129" s="2">
        <v>105445</v>
      </c>
      <c r="C129" s="2">
        <v>7195</v>
      </c>
      <c r="D129" s="2">
        <v>98250</v>
      </c>
      <c r="E129" s="1">
        <f t="shared" si="1"/>
        <v>0.93176537531414483</v>
      </c>
    </row>
    <row r="130" spans="1:11" x14ac:dyDescent="0.3">
      <c r="A130">
        <v>2023</v>
      </c>
      <c r="B130" s="2">
        <v>72037</v>
      </c>
      <c r="C130" s="2">
        <v>18550</v>
      </c>
      <c r="D130" s="2">
        <v>53487</v>
      </c>
      <c r="E130" s="1">
        <f t="shared" si="1"/>
        <v>0.74249344087066371</v>
      </c>
    </row>
    <row r="131" spans="1:11" x14ac:dyDescent="0.3">
      <c r="A131">
        <v>2024</v>
      </c>
      <c r="B131" s="2">
        <v>50010</v>
      </c>
      <c r="C131" s="2">
        <v>23901</v>
      </c>
      <c r="D131" s="2">
        <v>26109</v>
      </c>
      <c r="E131" s="1">
        <f t="shared" si="1"/>
        <v>0.52207558488302341</v>
      </c>
    </row>
    <row r="132" spans="1:11" x14ac:dyDescent="0.3">
      <c r="A132">
        <v>2025</v>
      </c>
      <c r="B132" s="2">
        <v>12449</v>
      </c>
      <c r="C132" s="2">
        <v>3084</v>
      </c>
      <c r="D132" s="2">
        <v>9365</v>
      </c>
      <c r="E132" s="1">
        <f t="shared" ref="E132:E144" si="2">D132/B132</f>
        <v>0.75226925857498594</v>
      </c>
    </row>
    <row r="133" spans="1:11" x14ac:dyDescent="0.3">
      <c r="A133">
        <v>2026</v>
      </c>
      <c r="B133" s="2">
        <f>_xlfn.FORECAST.LINEAR(A133,B126:B132,A126:A132)</f>
        <v>57228</v>
      </c>
      <c r="C133" s="2">
        <f>_xlfn.FORECAST.LINEAR(A133,C126:C132,A126:A132)</f>
        <v>15683.85714285681</v>
      </c>
      <c r="D133" s="2">
        <f>B133-C133</f>
        <v>41544.14285714319</v>
      </c>
      <c r="E133" s="1">
        <f t="shared" si="2"/>
        <v>0.72594084813628279</v>
      </c>
    </row>
    <row r="134" spans="1:11" x14ac:dyDescent="0.3">
      <c r="A134">
        <v>2027</v>
      </c>
      <c r="B134" s="2">
        <f>_xlfn.FORECAST.LINEAR(A134,B126:B133,A126:A133)</f>
        <v>60781.857142857276</v>
      </c>
      <c r="C134" s="2">
        <f>_xlfn.FORECAST.LINEAR(A134,C126:C133,A126:A133)</f>
        <v>16914.785714285448</v>
      </c>
      <c r="D134" s="2">
        <f>B134-C134</f>
        <v>43867.071428571828</v>
      </c>
      <c r="E134" s="1">
        <f t="shared" si="2"/>
        <v>0.72171324619894128</v>
      </c>
    </row>
    <row r="135" spans="1:11" x14ac:dyDescent="0.3">
      <c r="A135" s="13" t="s">
        <v>14</v>
      </c>
      <c r="B135" s="7">
        <f>SUM(B136:B144)</f>
        <v>14710.500000000116</v>
      </c>
      <c r="C135" s="7">
        <f>SUM(C136:C144)</f>
        <v>8525.2500000001164</v>
      </c>
      <c r="D135" s="7">
        <f>SUM(D136:D144)</f>
        <v>6185.25</v>
      </c>
      <c r="E135" s="1">
        <f t="shared" si="2"/>
        <v>0.42046497399816124</v>
      </c>
      <c r="F135" s="68" t="s">
        <v>186</v>
      </c>
      <c r="G135" s="68"/>
      <c r="H135" s="68"/>
      <c r="I135" s="68"/>
      <c r="J135" s="68"/>
      <c r="K135" s="68"/>
    </row>
    <row r="136" spans="1:11" x14ac:dyDescent="0.3">
      <c r="A136">
        <v>2019</v>
      </c>
      <c r="B136" s="2">
        <v>5275</v>
      </c>
      <c r="C136" s="2">
        <v>4189</v>
      </c>
      <c r="D136" s="2">
        <v>1086</v>
      </c>
      <c r="E136" s="1">
        <f t="shared" si="2"/>
        <v>0.20587677725118483</v>
      </c>
      <c r="F136" s="68"/>
      <c r="G136" s="68"/>
      <c r="H136" s="68"/>
      <c r="I136" s="68"/>
      <c r="J136" s="68"/>
      <c r="K136" s="68"/>
    </row>
    <row r="137" spans="1:11" x14ac:dyDescent="0.3">
      <c r="A137">
        <v>2020</v>
      </c>
      <c r="B137" s="2">
        <v>2798</v>
      </c>
      <c r="C137" s="2">
        <v>1983</v>
      </c>
      <c r="D137" s="2">
        <v>815</v>
      </c>
      <c r="E137" s="1">
        <f t="shared" si="2"/>
        <v>0.29127948534667619</v>
      </c>
      <c r="F137" s="19"/>
      <c r="G137" s="19"/>
      <c r="H137" s="19"/>
      <c r="I137" s="19"/>
      <c r="J137" s="19"/>
      <c r="K137" s="19"/>
    </row>
    <row r="138" spans="1:11" x14ac:dyDescent="0.3">
      <c r="A138">
        <v>2021</v>
      </c>
      <c r="B138" s="2">
        <v>0</v>
      </c>
      <c r="C138" s="2">
        <v>12</v>
      </c>
      <c r="D138" s="2">
        <v>-12</v>
      </c>
      <c r="E138" s="1" t="e">
        <f t="shared" si="2"/>
        <v>#DIV/0!</v>
      </c>
      <c r="F138" s="19"/>
      <c r="G138" s="19"/>
      <c r="H138" s="19"/>
      <c r="I138" s="19"/>
      <c r="J138" s="19"/>
      <c r="K138" s="19"/>
    </row>
    <row r="139" spans="1:11" x14ac:dyDescent="0.3">
      <c r="A139">
        <v>2022</v>
      </c>
      <c r="B139" s="2">
        <v>3284</v>
      </c>
      <c r="C139" s="2">
        <v>1931</v>
      </c>
      <c r="D139" s="2">
        <v>1353</v>
      </c>
      <c r="E139" s="1">
        <f t="shared" si="2"/>
        <v>0.4119975639464068</v>
      </c>
      <c r="G139" t="s">
        <v>131</v>
      </c>
      <c r="H139" t="s">
        <v>128</v>
      </c>
      <c r="I139" t="s">
        <v>129</v>
      </c>
      <c r="J139" t="s">
        <v>130</v>
      </c>
    </row>
    <row r="140" spans="1:11" x14ac:dyDescent="0.3">
      <c r="A140">
        <v>2023</v>
      </c>
      <c r="B140" s="2">
        <v>1153</v>
      </c>
      <c r="C140" s="2">
        <v>576</v>
      </c>
      <c r="D140" s="2">
        <v>577</v>
      </c>
      <c r="E140" s="1">
        <f t="shared" si="2"/>
        <v>0.50043365134431916</v>
      </c>
      <c r="F140" s="18">
        <v>2026</v>
      </c>
      <c r="G140" s="20">
        <f>B142*(0.79)</f>
        <v>1036.48</v>
      </c>
      <c r="H140" s="20">
        <f>C142*(0.79)</f>
        <v>455.04</v>
      </c>
      <c r="I140" s="20">
        <f>G140-H140</f>
        <v>581.44000000000005</v>
      </c>
      <c r="J140" s="1">
        <f>I140/G140</f>
        <v>0.56097560975609762</v>
      </c>
    </row>
    <row r="141" spans="1:11" x14ac:dyDescent="0.3">
      <c r="A141">
        <v>2024</v>
      </c>
      <c r="B141" s="2">
        <v>1135</v>
      </c>
      <c r="C141" s="2">
        <v>616</v>
      </c>
      <c r="D141" s="2">
        <v>519</v>
      </c>
      <c r="E141" s="1">
        <f t="shared" si="2"/>
        <v>0.45726872246696038</v>
      </c>
      <c r="F141" s="18">
        <v>2027</v>
      </c>
      <c r="G141" s="20">
        <f>G140*(0.59)</f>
        <v>611.52319999999997</v>
      </c>
      <c r="H141" s="20">
        <f>H140*(0.59)</f>
        <v>268.47359999999998</v>
      </c>
      <c r="I141" s="20">
        <f>G141-H141</f>
        <v>343.0496</v>
      </c>
      <c r="J141" s="1">
        <f>I141/G141</f>
        <v>0.56097560975609762</v>
      </c>
    </row>
    <row r="142" spans="1:11" x14ac:dyDescent="0.3">
      <c r="A142">
        <v>2025</v>
      </c>
      <c r="B142" s="2">
        <v>1312</v>
      </c>
      <c r="C142" s="2">
        <v>576</v>
      </c>
      <c r="D142" s="2">
        <v>736</v>
      </c>
      <c r="E142" s="1">
        <f t="shared" si="2"/>
        <v>0.56097560975609762</v>
      </c>
    </row>
    <row r="143" spans="1:11" x14ac:dyDescent="0.3">
      <c r="A143">
        <v>2026</v>
      </c>
      <c r="B143" s="2">
        <f>_xlfn.FORECAST.LINEAR(A143,B136:B142,A136:A142)</f>
        <v>127.85714285715949</v>
      </c>
      <c r="C143" s="2">
        <f>_xlfn.FORECAST.LINEAR(A143,C136:C142,A136:A142)</f>
        <v>-446.57142857136205</v>
      </c>
      <c r="D143" s="2">
        <f>B143-C143</f>
        <v>574.42857142852154</v>
      </c>
      <c r="E143" s="1">
        <f t="shared" si="2"/>
        <v>4.4927374301666232</v>
      </c>
      <c r="G143" s="54"/>
      <c r="H143" s="54"/>
      <c r="I143" s="54"/>
      <c r="J143" s="54"/>
    </row>
    <row r="144" spans="1:11" x14ac:dyDescent="0.3">
      <c r="A144">
        <v>2027</v>
      </c>
      <c r="B144" s="2">
        <f>_xlfn.FORECAST.LINEAR(A144,B136:B143,A136:A143)</f>
        <v>-374.35714285704307</v>
      </c>
      <c r="C144" s="2">
        <f>_xlfn.FORECAST.LINEAR(A144,C136:C143,A136:A143)</f>
        <v>-911.17857142852154</v>
      </c>
      <c r="D144" s="2">
        <f>B144-C144</f>
        <v>536.82142857147846</v>
      </c>
      <c r="E144" s="1">
        <f t="shared" si="2"/>
        <v>-1.4339820644920247</v>
      </c>
      <c r="G144" s="54"/>
      <c r="H144" s="54"/>
      <c r="I144" s="54"/>
      <c r="J144" s="54"/>
    </row>
    <row r="145" spans="1:5" x14ac:dyDescent="0.3">
      <c r="A145" s="6" t="s">
        <v>15</v>
      </c>
      <c r="B145" s="7">
        <f>SUM(B146:B153)</f>
        <v>135385.14285714366</v>
      </c>
      <c r="C145" s="7">
        <f>SUM(C146:C153)</f>
        <v>38316.928571428871</v>
      </c>
      <c r="D145" s="7">
        <f>SUM(D146:D153)</f>
        <v>97068.214285714785</v>
      </c>
      <c r="E145" s="1">
        <f t="shared" si="1"/>
        <v>0.71697833482466899</v>
      </c>
    </row>
    <row r="146" spans="1:5" x14ac:dyDescent="0.3">
      <c r="A146">
        <v>2019</v>
      </c>
      <c r="B146" s="2">
        <v>5107</v>
      </c>
      <c r="C146" s="2">
        <v>1017</v>
      </c>
      <c r="D146" s="2">
        <v>4090</v>
      </c>
      <c r="E146" s="1">
        <f t="shared" si="1"/>
        <v>0.80086156256119057</v>
      </c>
    </row>
    <row r="147" spans="1:5" x14ac:dyDescent="0.3">
      <c r="A147">
        <v>2021</v>
      </c>
      <c r="B147" s="2">
        <v>7487</v>
      </c>
      <c r="C147" s="2">
        <v>3712</v>
      </c>
      <c r="D147" s="2">
        <v>3775</v>
      </c>
      <c r="E147" s="1">
        <f t="shared" si="1"/>
        <v>0.50420729264057695</v>
      </c>
    </row>
    <row r="148" spans="1:5" x14ac:dyDescent="0.3">
      <c r="A148">
        <v>2022</v>
      </c>
      <c r="B148" s="2">
        <v>14779</v>
      </c>
      <c r="C148" s="2">
        <v>3681</v>
      </c>
      <c r="D148" s="2">
        <v>11098</v>
      </c>
      <c r="E148" s="1">
        <f t="shared" si="1"/>
        <v>0.75093037417957909</v>
      </c>
    </row>
    <row r="149" spans="1:5" x14ac:dyDescent="0.3">
      <c r="A149">
        <v>2023</v>
      </c>
      <c r="B149" s="2">
        <v>22252</v>
      </c>
      <c r="C149" s="2">
        <v>6064</v>
      </c>
      <c r="D149" s="2">
        <v>16188</v>
      </c>
      <c r="E149" s="1">
        <f t="shared" si="1"/>
        <v>0.727485169872371</v>
      </c>
    </row>
    <row r="150" spans="1:5" x14ac:dyDescent="0.3">
      <c r="A150">
        <v>2024</v>
      </c>
      <c r="B150" s="2">
        <v>21833</v>
      </c>
      <c r="C150" s="2">
        <v>5078</v>
      </c>
      <c r="D150" s="2">
        <v>16755</v>
      </c>
      <c r="E150" s="1">
        <f t="shared" si="1"/>
        <v>0.76741629643200659</v>
      </c>
    </row>
    <row r="151" spans="1:5" x14ac:dyDescent="0.3">
      <c r="A151">
        <v>2025</v>
      </c>
      <c r="B151" s="2">
        <v>14533</v>
      </c>
      <c r="C151" s="2">
        <v>4899</v>
      </c>
      <c r="D151" s="2">
        <v>9634</v>
      </c>
      <c r="E151" s="1">
        <f t="shared" si="1"/>
        <v>0.66290511250258033</v>
      </c>
    </row>
    <row r="152" spans="1:5" x14ac:dyDescent="0.3">
      <c r="A152">
        <v>2026</v>
      </c>
      <c r="B152" s="2">
        <f>_xlfn.FORECAST.LINEAR(A152,B146:B151,A146:A151)</f>
        <v>23453.242857143283</v>
      </c>
      <c r="C152" s="2">
        <f>_xlfn.FORECAST.LINEAR(A152,C146:C151,A146:A151)</f>
        <v>6590.0285714287311</v>
      </c>
      <c r="D152" s="2">
        <f>B152-C152</f>
        <v>16863.214285714552</v>
      </c>
      <c r="E152" s="1">
        <f t="shared" si="1"/>
        <v>0.71901418445332088</v>
      </c>
    </row>
    <row r="153" spans="1:5" x14ac:dyDescent="0.3">
      <c r="A153">
        <v>2027</v>
      </c>
      <c r="B153" s="2">
        <f>_xlfn.FORECAST.LINEAR(A153,B146:B152,A146:A152)</f>
        <v>25940.900000000373</v>
      </c>
      <c r="C153" s="2">
        <f>_xlfn.FORECAST.LINEAR(A153,C146:C152,A146:A152)</f>
        <v>7275.9000000001397</v>
      </c>
      <c r="D153" s="2">
        <f>B153-C153</f>
        <v>18665.000000000233</v>
      </c>
      <c r="E153" s="1">
        <f t="shared" si="1"/>
        <v>0.71952014001056108</v>
      </c>
    </row>
    <row r="154" spans="1:5" x14ac:dyDescent="0.3">
      <c r="A154" s="6" t="s">
        <v>16</v>
      </c>
      <c r="B154" s="7">
        <f>SUM(B155:B163)</f>
        <v>1152310.8214285746</v>
      </c>
      <c r="C154" s="7">
        <f>SUM(C155:C163)</f>
        <v>358892.35714285821</v>
      </c>
      <c r="D154" s="7">
        <f>SUM(D155:D163)</f>
        <v>793418.46428571641</v>
      </c>
      <c r="E154" s="1">
        <f t="shared" si="1"/>
        <v>0.68854552914991962</v>
      </c>
    </row>
    <row r="155" spans="1:5" x14ac:dyDescent="0.3">
      <c r="A155">
        <v>2019</v>
      </c>
      <c r="B155" s="2">
        <v>197823</v>
      </c>
      <c r="C155" s="2">
        <v>59564</v>
      </c>
      <c r="D155" s="2">
        <v>138259</v>
      </c>
      <c r="E155" s="1">
        <f t="shared" si="1"/>
        <v>0.6989025543035946</v>
      </c>
    </row>
    <row r="156" spans="1:5" x14ac:dyDescent="0.3">
      <c r="A156">
        <v>2020</v>
      </c>
      <c r="B156" s="2">
        <v>222128</v>
      </c>
      <c r="C156" s="2">
        <v>62636</v>
      </c>
      <c r="D156" s="2">
        <v>159492</v>
      </c>
      <c r="E156" s="1">
        <f t="shared" si="1"/>
        <v>0.71801843981848301</v>
      </c>
    </row>
    <row r="157" spans="1:5" x14ac:dyDescent="0.3">
      <c r="A157">
        <v>2021</v>
      </c>
      <c r="B157" s="2">
        <v>177978</v>
      </c>
      <c r="C157" s="2">
        <v>59161</v>
      </c>
      <c r="D157" s="2">
        <v>118817</v>
      </c>
      <c r="E157" s="1">
        <f t="shared" si="1"/>
        <v>0.66759374754183098</v>
      </c>
    </row>
    <row r="158" spans="1:5" x14ac:dyDescent="0.3">
      <c r="A158">
        <v>2022</v>
      </c>
      <c r="B158" s="2">
        <v>105629</v>
      </c>
      <c r="C158" s="2">
        <v>30645</v>
      </c>
      <c r="D158" s="2">
        <v>74984</v>
      </c>
      <c r="E158" s="1">
        <f t="shared" si="1"/>
        <v>0.70988080924746044</v>
      </c>
    </row>
    <row r="159" spans="1:5" x14ac:dyDescent="0.3">
      <c r="A159">
        <v>2023</v>
      </c>
      <c r="B159" s="2">
        <v>114926</v>
      </c>
      <c r="C159" s="2">
        <v>37135</v>
      </c>
      <c r="D159" s="2">
        <v>77791</v>
      </c>
      <c r="E159" s="1">
        <f t="shared" si="1"/>
        <v>0.67687903520526249</v>
      </c>
    </row>
    <row r="160" spans="1:5" x14ac:dyDescent="0.3">
      <c r="A160">
        <v>2024</v>
      </c>
      <c r="B160" s="2">
        <v>114409</v>
      </c>
      <c r="C160" s="2">
        <v>30713</v>
      </c>
      <c r="D160" s="2">
        <v>83696</v>
      </c>
      <c r="E160" s="1">
        <f t="shared" si="1"/>
        <v>0.73155083953185496</v>
      </c>
    </row>
    <row r="161" spans="1:5" x14ac:dyDescent="0.3">
      <c r="A161">
        <v>2025</v>
      </c>
      <c r="B161" s="2">
        <v>103622</v>
      </c>
      <c r="C161" s="2">
        <v>37386</v>
      </c>
      <c r="D161" s="2">
        <v>66236</v>
      </c>
      <c r="E161" s="1">
        <f t="shared" si="1"/>
        <v>0.63920789021636337</v>
      </c>
    </row>
    <row r="162" spans="1:5" x14ac:dyDescent="0.3">
      <c r="A162">
        <v>2026</v>
      </c>
      <c r="B162" s="2">
        <f>_xlfn.FORECAST.LINEAR(A162,B155:B161,A155:A161)</f>
        <v>67917.428571432829</v>
      </c>
      <c r="C162" s="2">
        <f>_xlfn.FORECAST.LINEAR(A162,C155:C161,A155:A161)</f>
        <v>23547.714285714552</v>
      </c>
      <c r="D162" s="2">
        <f>B162-C162</f>
        <v>44369.714285718277</v>
      </c>
      <c r="E162" s="1">
        <f t="shared" si="1"/>
        <v>0.6532890779139553</v>
      </c>
    </row>
    <row r="163" spans="1:5" x14ac:dyDescent="0.3">
      <c r="A163">
        <v>2027</v>
      </c>
      <c r="B163" s="2">
        <f>_xlfn.FORECAST.LINEAR(A163,B155:B162,A155:A162)</f>
        <v>47878.392857141793</v>
      </c>
      <c r="C163" s="2">
        <f>_xlfn.FORECAST.LINEAR(A163,C155:C162,A155:A162)</f>
        <v>18104.642857143655</v>
      </c>
      <c r="D163" s="2">
        <f>B163-C163</f>
        <v>29773.749999998137</v>
      </c>
      <c r="E163" s="1">
        <f t="shared" si="1"/>
        <v>0.62186193443953353</v>
      </c>
    </row>
    <row r="164" spans="1:5" x14ac:dyDescent="0.3">
      <c r="A164" s="6" t="s">
        <v>17</v>
      </c>
      <c r="B164" s="7">
        <f>SUM(B165:B173)</f>
        <v>254431.92857142864</v>
      </c>
      <c r="C164" s="7">
        <f>SUM(C165:C173)</f>
        <v>93937.499999999534</v>
      </c>
      <c r="D164" s="7">
        <f>SUM(D165:D173)</f>
        <v>160494.4285714291</v>
      </c>
      <c r="E164" s="1">
        <f t="shared" si="1"/>
        <v>0.63079515795271845</v>
      </c>
    </row>
    <row r="165" spans="1:5" x14ac:dyDescent="0.3">
      <c r="A165">
        <v>2019</v>
      </c>
      <c r="B165" s="2">
        <v>13366</v>
      </c>
      <c r="C165" s="2">
        <v>1922</v>
      </c>
      <c r="D165" s="2">
        <v>11444</v>
      </c>
      <c r="E165" s="1">
        <f t="shared" si="1"/>
        <v>0.85620230435433187</v>
      </c>
    </row>
    <row r="166" spans="1:5" x14ac:dyDescent="0.3">
      <c r="A166">
        <v>2020</v>
      </c>
      <c r="B166" s="2">
        <v>32123</v>
      </c>
      <c r="C166" s="2">
        <v>5584</v>
      </c>
      <c r="D166" s="2">
        <v>26539</v>
      </c>
      <c r="E166" s="1">
        <f t="shared" si="1"/>
        <v>0.82616816611150889</v>
      </c>
    </row>
    <row r="167" spans="1:5" x14ac:dyDescent="0.3">
      <c r="A167">
        <v>2021</v>
      </c>
      <c r="B167" s="2">
        <v>25894</v>
      </c>
      <c r="C167" s="2">
        <v>6659</v>
      </c>
      <c r="D167" s="2">
        <v>19235</v>
      </c>
      <c r="E167" s="1">
        <f t="shared" ref="E167:E246" si="3">D167/B167</f>
        <v>0.74283617826523518</v>
      </c>
    </row>
    <row r="168" spans="1:5" x14ac:dyDescent="0.3">
      <c r="A168">
        <v>2022</v>
      </c>
      <c r="B168" s="2">
        <v>24727</v>
      </c>
      <c r="C168" s="2">
        <v>6875</v>
      </c>
      <c r="D168" s="2">
        <v>17852</v>
      </c>
      <c r="E168" s="1">
        <f t="shared" si="3"/>
        <v>0.72196384518946899</v>
      </c>
    </row>
    <row r="169" spans="1:5" x14ac:dyDescent="0.3">
      <c r="A169">
        <v>2023</v>
      </c>
      <c r="B169" s="2">
        <v>37694</v>
      </c>
      <c r="C169" s="2">
        <v>12799</v>
      </c>
      <c r="D169" s="2">
        <v>24895</v>
      </c>
      <c r="E169" s="1">
        <f t="shared" si="3"/>
        <v>0.6604499389823314</v>
      </c>
    </row>
    <row r="170" spans="1:5" x14ac:dyDescent="0.3">
      <c r="A170">
        <v>2024</v>
      </c>
      <c r="B170" s="2">
        <v>33271</v>
      </c>
      <c r="C170" s="2">
        <v>18050</v>
      </c>
      <c r="D170" s="2">
        <v>15221</v>
      </c>
      <c r="E170" s="1">
        <f t="shared" si="3"/>
        <v>0.45748549788103754</v>
      </c>
    </row>
    <row r="171" spans="1:5" x14ac:dyDescent="0.3">
      <c r="A171">
        <v>2025</v>
      </c>
      <c r="B171" s="2">
        <v>21324</v>
      </c>
      <c r="C171" s="2">
        <v>8484</v>
      </c>
      <c r="D171" s="2">
        <v>12840</v>
      </c>
      <c r="E171" s="1">
        <f t="shared" si="3"/>
        <v>0.6021384355655599</v>
      </c>
    </row>
    <row r="172" spans="1:5" x14ac:dyDescent="0.3">
      <c r="A172">
        <v>2026</v>
      </c>
      <c r="B172" s="2">
        <f>_xlfn.FORECAST.LINEAR(A172,B165:B171,A165:A171)</f>
        <v>32338.428571428638</v>
      </c>
      <c r="C172" s="2">
        <f>_xlfn.FORECAST.LINEAR(A172,C165:C171,A165:A171)</f>
        <v>15875.85714285681</v>
      </c>
      <c r="D172" s="2">
        <f>B172-C172</f>
        <v>16462.571428571828</v>
      </c>
      <c r="E172" s="1">
        <f t="shared" si="3"/>
        <v>0.50907147180047863</v>
      </c>
    </row>
    <row r="173" spans="1:5" x14ac:dyDescent="0.3">
      <c r="A173">
        <v>2027</v>
      </c>
      <c r="B173" s="2">
        <f>_xlfn.FORECAST.LINEAR(A173,B165:B172,A165:A172)</f>
        <v>33694.5</v>
      </c>
      <c r="C173" s="2">
        <f>_xlfn.FORECAST.LINEAR(A173,C165:C172,A165:A172)</f>
        <v>17688.642857142724</v>
      </c>
      <c r="D173" s="2">
        <f>B173-C173</f>
        <v>16005.857142857276</v>
      </c>
      <c r="E173" s="1">
        <f t="shared" si="3"/>
        <v>0.47502877748170402</v>
      </c>
    </row>
    <row r="174" spans="1:5" x14ac:dyDescent="0.3">
      <c r="A174" s="13" t="s">
        <v>18</v>
      </c>
      <c r="B174" s="7">
        <f>SUM(B175:B183)</f>
        <v>152933.14285714296</v>
      </c>
      <c r="C174" s="7">
        <f>SUM(C175:C183)</f>
        <v>57437.999999999767</v>
      </c>
      <c r="D174" s="7">
        <f>SUM(D175:D183)</f>
        <v>95495.14285714319</v>
      </c>
      <c r="E174" s="1">
        <f t="shared" si="3"/>
        <v>0.62442411810202958</v>
      </c>
    </row>
    <row r="175" spans="1:5" x14ac:dyDescent="0.3">
      <c r="A175">
        <v>2019</v>
      </c>
      <c r="B175" s="2">
        <v>9517</v>
      </c>
      <c r="C175" s="2">
        <v>1012</v>
      </c>
      <c r="D175" s="2">
        <v>8505</v>
      </c>
      <c r="E175" s="1">
        <f t="shared" si="3"/>
        <v>0.89366396973836293</v>
      </c>
    </row>
    <row r="176" spans="1:5" x14ac:dyDescent="0.3">
      <c r="A176">
        <v>2020</v>
      </c>
      <c r="B176" s="2">
        <v>12798</v>
      </c>
      <c r="C176" s="2">
        <v>3139</v>
      </c>
      <c r="D176" s="2">
        <v>9659</v>
      </c>
      <c r="E176" s="1">
        <f t="shared" si="3"/>
        <v>0.75472730114080322</v>
      </c>
    </row>
    <row r="177" spans="1:5" x14ac:dyDescent="0.3">
      <c r="A177">
        <v>2021</v>
      </c>
      <c r="B177" s="2">
        <v>21923</v>
      </c>
      <c r="C177" s="2">
        <v>7138</v>
      </c>
      <c r="D177" s="2">
        <v>14785</v>
      </c>
      <c r="E177" s="1">
        <f t="shared" si="3"/>
        <v>0.67440587510833372</v>
      </c>
    </row>
    <row r="178" spans="1:5" x14ac:dyDescent="0.3">
      <c r="A178">
        <v>2022</v>
      </c>
      <c r="B178" s="2">
        <v>21267</v>
      </c>
      <c r="C178" s="2">
        <v>8341</v>
      </c>
      <c r="D178" s="2">
        <v>12926</v>
      </c>
      <c r="E178" s="1">
        <f t="shared" si="3"/>
        <v>0.60779611604833783</v>
      </c>
    </row>
    <row r="179" spans="1:5" x14ac:dyDescent="0.3">
      <c r="A179">
        <v>2023</v>
      </c>
      <c r="B179" s="2">
        <v>18936</v>
      </c>
      <c r="C179" s="2">
        <v>7206</v>
      </c>
      <c r="D179" s="2">
        <v>11730</v>
      </c>
      <c r="E179" s="1">
        <f t="shared" si="3"/>
        <v>0.61945500633713557</v>
      </c>
    </row>
    <row r="180" spans="1:5" x14ac:dyDescent="0.3">
      <c r="A180">
        <v>2024</v>
      </c>
      <c r="B180" s="2">
        <v>21817</v>
      </c>
      <c r="C180" s="2">
        <v>9016</v>
      </c>
      <c r="D180" s="2">
        <v>12801</v>
      </c>
      <c r="E180" s="1">
        <f t="shared" si="3"/>
        <v>0.58674428198194073</v>
      </c>
    </row>
    <row r="181" spans="1:5" x14ac:dyDescent="0.3">
      <c r="A181">
        <v>2025</v>
      </c>
      <c r="B181" s="2">
        <v>9180</v>
      </c>
      <c r="C181" s="2">
        <v>3786</v>
      </c>
      <c r="D181" s="2">
        <v>5394</v>
      </c>
      <c r="E181" s="1">
        <f t="shared" si="3"/>
        <v>0.58758169934640525</v>
      </c>
    </row>
    <row r="182" spans="1:5" x14ac:dyDescent="0.3">
      <c r="A182">
        <v>2026</v>
      </c>
      <c r="B182" s="2">
        <f>_xlfn.FORECAST.LINEAR(A182,B175:B181,A175:A181)</f>
        <v>18496.857142857159</v>
      </c>
      <c r="C182" s="2">
        <f>_xlfn.FORECAST.LINEAR(A182,C175:C181,A175:A181)</f>
        <v>8540.285714285681</v>
      </c>
      <c r="D182" s="2">
        <f>B182-C182</f>
        <v>9956.5714285714785</v>
      </c>
      <c r="E182" s="1">
        <f t="shared" si="3"/>
        <v>0.53828449620785224</v>
      </c>
    </row>
    <row r="183" spans="1:5" x14ac:dyDescent="0.3">
      <c r="A183">
        <v>2027</v>
      </c>
      <c r="B183" s="2">
        <f>_xlfn.FORECAST.LINEAR(A183,B175:B182,A175:A182)</f>
        <v>18998.285714285797</v>
      </c>
      <c r="C183" s="2">
        <f>_xlfn.FORECAST.LINEAR(A183,C175:C182,A175:A182)</f>
        <v>9259.7142857140861</v>
      </c>
      <c r="D183" s="2">
        <f>B183-C183</f>
        <v>9738.5714285717113</v>
      </c>
      <c r="E183" s="1">
        <f t="shared" si="3"/>
        <v>0.51260264083978768</v>
      </c>
    </row>
    <row r="184" spans="1:5" x14ac:dyDescent="0.3">
      <c r="A184" s="6" t="s">
        <v>19</v>
      </c>
      <c r="B184" s="7">
        <f>SUM(B185:B193)</f>
        <v>145852.39285714366</v>
      </c>
      <c r="C184" s="7">
        <f>SUM(C185:C193)</f>
        <v>38134.607142857043</v>
      </c>
      <c r="D184" s="7">
        <f>SUM(D185:D193)</f>
        <v>107717.78571428661</v>
      </c>
      <c r="E184" s="1">
        <f t="shared" si="3"/>
        <v>0.7385397222779313</v>
      </c>
    </row>
    <row r="185" spans="1:5" x14ac:dyDescent="0.3">
      <c r="A185">
        <v>2019</v>
      </c>
      <c r="B185" s="2">
        <v>4082</v>
      </c>
      <c r="C185" s="2">
        <v>901</v>
      </c>
      <c r="D185" s="2">
        <v>3181</v>
      </c>
      <c r="E185" s="1">
        <f t="shared" si="3"/>
        <v>0.77927486526212641</v>
      </c>
    </row>
    <row r="186" spans="1:5" x14ac:dyDescent="0.3">
      <c r="A186">
        <v>2020</v>
      </c>
      <c r="B186" s="2">
        <v>18822</v>
      </c>
      <c r="C186" s="2">
        <v>3659</v>
      </c>
      <c r="D186" s="2">
        <v>15163</v>
      </c>
      <c r="E186" s="1">
        <f t="shared" si="3"/>
        <v>0.8055998299861864</v>
      </c>
    </row>
    <row r="187" spans="1:5" x14ac:dyDescent="0.3">
      <c r="A187">
        <v>2021</v>
      </c>
      <c r="B187" s="2">
        <v>39068</v>
      </c>
      <c r="C187" s="2">
        <v>12821</v>
      </c>
      <c r="D187" s="2">
        <v>26247</v>
      </c>
      <c r="E187" s="1">
        <f t="shared" si="3"/>
        <v>0.67182860653220022</v>
      </c>
    </row>
    <row r="188" spans="1:5" x14ac:dyDescent="0.3">
      <c r="A188">
        <v>2022</v>
      </c>
      <c r="B188" s="2">
        <v>23815</v>
      </c>
      <c r="C188" s="2">
        <v>6145</v>
      </c>
      <c r="D188" s="2">
        <v>17670</v>
      </c>
      <c r="E188" s="1">
        <f t="shared" si="3"/>
        <v>0.74196934705017847</v>
      </c>
    </row>
    <row r="189" spans="1:5" x14ac:dyDescent="0.3">
      <c r="A189">
        <v>2023</v>
      </c>
      <c r="B189" s="2">
        <v>23933</v>
      </c>
      <c r="C189" s="2">
        <v>4510</v>
      </c>
      <c r="D189" s="2">
        <v>19423</v>
      </c>
      <c r="E189" s="1">
        <f t="shared" si="3"/>
        <v>0.81155726402874695</v>
      </c>
    </row>
    <row r="190" spans="1:5" x14ac:dyDescent="0.3">
      <c r="A190">
        <v>2024</v>
      </c>
      <c r="B190" s="2">
        <v>13318</v>
      </c>
      <c r="C190" s="2">
        <v>4116</v>
      </c>
      <c r="D190" s="2">
        <v>9202</v>
      </c>
      <c r="E190" s="1">
        <f t="shared" si="3"/>
        <v>0.6909445862742154</v>
      </c>
    </row>
    <row r="191" spans="1:5" x14ac:dyDescent="0.3">
      <c r="A191">
        <v>2025</v>
      </c>
      <c r="B191" s="2">
        <v>0</v>
      </c>
      <c r="C191" s="2">
        <v>19</v>
      </c>
      <c r="D191" s="2">
        <v>-19</v>
      </c>
      <c r="E191" s="1" t="e">
        <f t="shared" si="3"/>
        <v>#DIV/0!</v>
      </c>
    </row>
    <row r="192" spans="1:5" x14ac:dyDescent="0.3">
      <c r="A192">
        <v>2026</v>
      </c>
      <c r="B192" s="2">
        <f>_xlfn.FORECAST.LINEAR(A192,B185:B191,A185:A191)</f>
        <v>12092.714285714552</v>
      </c>
      <c r="C192" s="2">
        <f>_xlfn.FORECAST.LINEAR(A192,C185:C191,A185:A191)</f>
        <v>3161.1428571428405</v>
      </c>
      <c r="D192" s="2">
        <f>B192-C192</f>
        <v>8931.5714285717113</v>
      </c>
      <c r="E192" s="1">
        <f t="shared" si="3"/>
        <v>0.73859112334464205</v>
      </c>
    </row>
    <row r="193" spans="1:5" x14ac:dyDescent="0.3">
      <c r="A193">
        <v>2027</v>
      </c>
      <c r="B193" s="2">
        <f>_xlfn.FORECAST.LINEAR(A193,B185:B192,A185:A192)</f>
        <v>10721.678571429104</v>
      </c>
      <c r="C193" s="2">
        <f>_xlfn.FORECAST.LINEAR(A193,C185:C192,A185:A192)</f>
        <v>2802.4642857142026</v>
      </c>
      <c r="D193" s="2">
        <f>B193-C193</f>
        <v>7919.2142857149011</v>
      </c>
      <c r="E193" s="1">
        <f t="shared" si="3"/>
        <v>0.73861702092225101</v>
      </c>
    </row>
    <row r="194" spans="1:5" x14ac:dyDescent="0.3">
      <c r="A194" s="6" t="s">
        <v>20</v>
      </c>
      <c r="B194" s="7">
        <f>SUM(B195:B203)</f>
        <v>133858.28571428574</v>
      </c>
      <c r="C194" s="7">
        <f>SUM(C195:C203)</f>
        <v>47061.64285714287</v>
      </c>
      <c r="D194" s="7">
        <f>B194-C194</f>
        <v>86796.64285714287</v>
      </c>
      <c r="E194" s="1">
        <f t="shared" si="3"/>
        <v>0.64842189180882126</v>
      </c>
    </row>
    <row r="195" spans="1:5" x14ac:dyDescent="0.3">
      <c r="A195">
        <v>2019</v>
      </c>
      <c r="B195" s="2">
        <v>10308</v>
      </c>
      <c r="C195" s="2">
        <v>2275</v>
      </c>
      <c r="D195" s="2">
        <v>8033</v>
      </c>
      <c r="E195" s="1">
        <f t="shared" si="3"/>
        <v>0.77929763290648035</v>
      </c>
    </row>
    <row r="196" spans="1:5" x14ac:dyDescent="0.3">
      <c r="A196">
        <v>2020</v>
      </c>
      <c r="B196" s="2">
        <v>19340</v>
      </c>
      <c r="C196" s="2">
        <v>6826</v>
      </c>
      <c r="D196" s="2">
        <v>12514</v>
      </c>
      <c r="E196" s="1">
        <f t="shared" si="3"/>
        <v>0.64705274043433303</v>
      </c>
    </row>
    <row r="197" spans="1:5" x14ac:dyDescent="0.3">
      <c r="A197">
        <v>2021</v>
      </c>
      <c r="B197" s="2">
        <v>18315</v>
      </c>
      <c r="C197" s="2">
        <v>8785</v>
      </c>
      <c r="D197" s="2">
        <v>9530</v>
      </c>
      <c r="E197" s="1">
        <f t="shared" si="3"/>
        <v>0.52033852033852035</v>
      </c>
    </row>
    <row r="198" spans="1:5" x14ac:dyDescent="0.3">
      <c r="A198">
        <v>2022</v>
      </c>
      <c r="B198" s="2">
        <v>13126</v>
      </c>
      <c r="C198" s="2">
        <v>5379</v>
      </c>
      <c r="D198" s="2">
        <v>7747</v>
      </c>
      <c r="E198" s="1">
        <f t="shared" si="3"/>
        <v>0.59020265122657323</v>
      </c>
    </row>
    <row r="199" spans="1:5" x14ac:dyDescent="0.3">
      <c r="A199">
        <v>2023</v>
      </c>
      <c r="B199" s="2">
        <v>13989</v>
      </c>
      <c r="C199" s="2">
        <v>4219</v>
      </c>
      <c r="D199" s="2">
        <v>9770</v>
      </c>
      <c r="E199" s="1">
        <f t="shared" si="3"/>
        <v>0.69840589034241185</v>
      </c>
    </row>
    <row r="200" spans="1:5" x14ac:dyDescent="0.3">
      <c r="A200">
        <v>2024</v>
      </c>
      <c r="B200" s="2">
        <v>14320</v>
      </c>
      <c r="C200" s="2">
        <v>4524</v>
      </c>
      <c r="D200" s="2">
        <v>9796</v>
      </c>
      <c r="E200" s="1">
        <f t="shared" si="3"/>
        <v>0.68407821229050281</v>
      </c>
    </row>
    <row r="201" spans="1:5" x14ac:dyDescent="0.3">
      <c r="A201">
        <v>2025</v>
      </c>
      <c r="B201" s="2">
        <v>14878</v>
      </c>
      <c r="C201" s="2">
        <v>4911</v>
      </c>
      <c r="D201" s="2">
        <v>9967</v>
      </c>
      <c r="E201" s="1">
        <f t="shared" si="3"/>
        <v>0.66991531119774161</v>
      </c>
    </row>
    <row r="202" spans="1:5" x14ac:dyDescent="0.3">
      <c r="A202">
        <v>2026</v>
      </c>
      <c r="B202" s="2">
        <f>_xlfn.FORECAST.LINEAR(A202,B195:B201,A195:A201)</f>
        <v>14802.857142857145</v>
      </c>
      <c r="C202" s="2">
        <f>_xlfn.FORECAST.LINEAR(A202,C195:C201,A195:A201)</f>
        <v>5093.8571428571449</v>
      </c>
      <c r="D202" s="2">
        <f>B202-C202</f>
        <v>9709</v>
      </c>
      <c r="E202" s="1">
        <f t="shared" si="3"/>
        <v>0.65588689442192616</v>
      </c>
    </row>
    <row r="203" spans="1:5" x14ac:dyDescent="0.3">
      <c r="A203">
        <v>2027</v>
      </c>
      <c r="B203" s="2">
        <f>_xlfn.FORECAST.LINEAR(A203,B195:B202,A195:A202)</f>
        <v>14779.42857142858</v>
      </c>
      <c r="C203" s="2">
        <f>_xlfn.FORECAST.LINEAR(A203,C195:C202,A195:A202)</f>
        <v>5048.7857142857247</v>
      </c>
      <c r="D203" s="2">
        <f>B203-C203</f>
        <v>9730.6428571428551</v>
      </c>
      <c r="E203" s="1">
        <f t="shared" si="3"/>
        <v>0.65839100680482476</v>
      </c>
    </row>
    <row r="204" spans="1:5" x14ac:dyDescent="0.3">
      <c r="A204" s="6" t="s">
        <v>21</v>
      </c>
      <c r="B204" s="7">
        <f>SUM(B205:B213)</f>
        <v>364511.57142856903</v>
      </c>
      <c r="C204" s="7">
        <f>SUM(C205:C213)</f>
        <v>111697.71428571432</v>
      </c>
      <c r="D204" s="7">
        <f>B204-C204</f>
        <v>252813.85714285471</v>
      </c>
      <c r="E204" s="1">
        <f t="shared" si="3"/>
        <v>0.69356881086667233</v>
      </c>
    </row>
    <row r="205" spans="1:5" x14ac:dyDescent="0.3">
      <c r="A205">
        <v>2019</v>
      </c>
      <c r="B205" s="2">
        <v>57020</v>
      </c>
      <c r="C205" s="2">
        <v>9813</v>
      </c>
      <c r="D205" s="2">
        <v>47207</v>
      </c>
      <c r="E205" s="1">
        <f t="shared" si="3"/>
        <v>0.82790249035426167</v>
      </c>
    </row>
    <row r="206" spans="1:5" x14ac:dyDescent="0.3">
      <c r="A206">
        <v>2020</v>
      </c>
      <c r="B206" s="2">
        <v>63159</v>
      </c>
      <c r="C206" s="2">
        <v>17266</v>
      </c>
      <c r="D206" s="2">
        <v>45893</v>
      </c>
      <c r="E206" s="1">
        <f t="shared" si="3"/>
        <v>0.7266264507037794</v>
      </c>
    </row>
    <row r="207" spans="1:5" x14ac:dyDescent="0.3">
      <c r="A207">
        <v>2021</v>
      </c>
      <c r="B207" s="2">
        <v>43687</v>
      </c>
      <c r="C207" s="2">
        <v>13223</v>
      </c>
      <c r="D207" s="2">
        <v>30464</v>
      </c>
      <c r="E207" s="1">
        <f t="shared" si="3"/>
        <v>0.69732414677135079</v>
      </c>
    </row>
    <row r="208" spans="1:5" x14ac:dyDescent="0.3">
      <c r="A208">
        <v>2022</v>
      </c>
      <c r="B208" s="2">
        <v>38955</v>
      </c>
      <c r="C208" s="2">
        <v>15293</v>
      </c>
      <c r="D208" s="2">
        <v>23662</v>
      </c>
      <c r="E208" s="1">
        <f t="shared" si="3"/>
        <v>0.60741881658323704</v>
      </c>
    </row>
    <row r="209" spans="1:5" x14ac:dyDescent="0.3">
      <c r="A209">
        <v>2023</v>
      </c>
      <c r="B209" s="2">
        <v>37286</v>
      </c>
      <c r="C209" s="2">
        <v>8741</v>
      </c>
      <c r="D209" s="2">
        <v>28545</v>
      </c>
      <c r="E209" s="1">
        <f t="shared" si="3"/>
        <v>0.76556884621573784</v>
      </c>
    </row>
    <row r="210" spans="1:5" x14ac:dyDescent="0.3">
      <c r="A210">
        <v>2024</v>
      </c>
      <c r="B210" s="2">
        <v>38562</v>
      </c>
      <c r="C210" s="2">
        <v>14665</v>
      </c>
      <c r="D210" s="2">
        <v>23897</v>
      </c>
      <c r="E210" s="1">
        <f t="shared" si="3"/>
        <v>0.61970333488926921</v>
      </c>
    </row>
    <row r="211" spans="1:5" x14ac:dyDescent="0.3">
      <c r="A211">
        <v>2025</v>
      </c>
      <c r="B211" s="2">
        <v>35145</v>
      </c>
      <c r="C211" s="2">
        <v>10089</v>
      </c>
      <c r="D211" s="2">
        <v>25056</v>
      </c>
      <c r="E211" s="1">
        <f t="shared" si="3"/>
        <v>0.71293213828425095</v>
      </c>
    </row>
    <row r="212" spans="1:5" x14ac:dyDescent="0.3">
      <c r="A212">
        <v>2026</v>
      </c>
      <c r="B212" s="2">
        <f>_xlfn.FORECAST.LINEAR(A212,B205:B211,A205:A211)</f>
        <v>27513.428571427241</v>
      </c>
      <c r="C212" s="2">
        <f>_xlfn.FORECAST.LINEAR(A212,C205:C211,A205:A211)</f>
        <v>11462</v>
      </c>
      <c r="D212" s="2">
        <f>B212-C212</f>
        <v>16051.428571427241</v>
      </c>
      <c r="E212" s="1">
        <f t="shared" si="3"/>
        <v>0.58340342897492192</v>
      </c>
    </row>
    <row r="213" spans="1:5" x14ac:dyDescent="0.3">
      <c r="A213">
        <v>2027</v>
      </c>
      <c r="B213" s="2">
        <f>_xlfn.FORECAST.LINEAR(A213,B205:B212,A205:A212)</f>
        <v>23184.142857141793</v>
      </c>
      <c r="C213" s="2">
        <f>_xlfn.FORECAST.LINEAR(A213,C205:C212,A205:A212)</f>
        <v>11145.714285714319</v>
      </c>
      <c r="D213" s="2">
        <f>B213-C213</f>
        <v>12038.428571427474</v>
      </c>
      <c r="E213" s="1">
        <f t="shared" si="3"/>
        <v>0.5192526911866866</v>
      </c>
    </row>
    <row r="214" spans="1:5" x14ac:dyDescent="0.3">
      <c r="A214" s="6" t="s">
        <v>22</v>
      </c>
      <c r="B214" s="7">
        <f>SUM(B215:B223)</f>
        <v>96842.892857142724</v>
      </c>
      <c r="C214" s="7">
        <f>SUM(C215:C223)</f>
        <v>47779.714285714203</v>
      </c>
      <c r="D214" s="7">
        <f>SUM(D215:D223)</f>
        <v>49063.178571428522</v>
      </c>
      <c r="E214" s="1">
        <f t="shared" si="3"/>
        <v>0.50662652801794972</v>
      </c>
    </row>
    <row r="215" spans="1:5" x14ac:dyDescent="0.3">
      <c r="A215">
        <v>2019</v>
      </c>
      <c r="B215" s="2">
        <v>12818</v>
      </c>
      <c r="C215" s="2">
        <v>6806</v>
      </c>
      <c r="D215" s="2">
        <v>6012</v>
      </c>
      <c r="E215" s="1">
        <f t="shared" si="3"/>
        <v>0.46902792947417693</v>
      </c>
    </row>
    <row r="216" spans="1:5" x14ac:dyDescent="0.3">
      <c r="A216">
        <v>2020</v>
      </c>
      <c r="B216" s="2">
        <v>14898</v>
      </c>
      <c r="C216" s="2">
        <v>8074</v>
      </c>
      <c r="D216" s="2">
        <v>6824</v>
      </c>
      <c r="E216" s="1">
        <f t="shared" si="3"/>
        <v>0.45804806014230098</v>
      </c>
    </row>
    <row r="217" spans="1:5" x14ac:dyDescent="0.3">
      <c r="A217">
        <v>2021</v>
      </c>
      <c r="B217" s="2">
        <v>11517</v>
      </c>
      <c r="C217" s="2">
        <v>4950</v>
      </c>
      <c r="D217" s="2">
        <v>6567</v>
      </c>
      <c r="E217" s="1">
        <f t="shared" si="3"/>
        <v>0.57020057306590255</v>
      </c>
    </row>
    <row r="218" spans="1:5" x14ac:dyDescent="0.3">
      <c r="A218">
        <v>2022</v>
      </c>
      <c r="B218" s="2">
        <v>11246</v>
      </c>
      <c r="C218" s="2">
        <v>4273</v>
      </c>
      <c r="D218" s="2">
        <v>6973</v>
      </c>
      <c r="E218" s="1">
        <f t="shared" si="3"/>
        <v>0.62004268184243283</v>
      </c>
    </row>
    <row r="219" spans="1:5" x14ac:dyDescent="0.3">
      <c r="A219">
        <v>2023</v>
      </c>
      <c r="B219" s="2">
        <v>11851</v>
      </c>
      <c r="C219" s="2">
        <v>5825</v>
      </c>
      <c r="D219" s="2">
        <v>6026</v>
      </c>
      <c r="E219" s="1">
        <f t="shared" si="3"/>
        <v>0.50848029702134845</v>
      </c>
    </row>
    <row r="220" spans="1:5" x14ac:dyDescent="0.3">
      <c r="A220">
        <v>2024</v>
      </c>
      <c r="B220" s="2">
        <v>10924</v>
      </c>
      <c r="C220" s="2">
        <v>5884</v>
      </c>
      <c r="D220" s="2">
        <v>5040</v>
      </c>
      <c r="E220" s="1">
        <f t="shared" si="3"/>
        <v>0.46136946173562798</v>
      </c>
    </row>
    <row r="221" spans="1:5" x14ac:dyDescent="0.3">
      <c r="A221">
        <v>2025</v>
      </c>
      <c r="B221" s="2">
        <v>7763</v>
      </c>
      <c r="C221" s="2">
        <v>4189</v>
      </c>
      <c r="D221" s="2">
        <v>3574</v>
      </c>
      <c r="E221" s="1">
        <f t="shared" si="3"/>
        <v>0.46038902486152261</v>
      </c>
    </row>
    <row r="222" spans="1:5" x14ac:dyDescent="0.3">
      <c r="A222">
        <v>2026</v>
      </c>
      <c r="B222" s="2">
        <f>_xlfn.FORECAST.LINEAR(A222,B215:B221,A215:A221)</f>
        <v>8319.7142857140861</v>
      </c>
      <c r="C222" s="2">
        <f>_xlfn.FORECAST.LINEAR(A222,C215:C221,A215:A221)</f>
        <v>4092.1428571428405</v>
      </c>
      <c r="D222" s="2">
        <f>B222-C222</f>
        <v>4227.5714285712456</v>
      </c>
      <c r="E222" s="1">
        <f t="shared" si="3"/>
        <v>0.50813901576289411</v>
      </c>
    </row>
    <row r="223" spans="1:5" x14ac:dyDescent="0.3">
      <c r="A223">
        <v>2027</v>
      </c>
      <c r="B223" s="2">
        <f>_xlfn.FORECAST.LINEAR(A223,B215:B222,A215:A222)</f>
        <v>7506.178571428638</v>
      </c>
      <c r="C223" s="2">
        <f>_xlfn.FORECAST.LINEAR(A223,C215:C222,A215:A222)</f>
        <v>3686.571428571362</v>
      </c>
      <c r="D223" s="2">
        <f>B223-C223</f>
        <v>3819.6071428572759</v>
      </c>
      <c r="E223" s="1">
        <f t="shared" si="3"/>
        <v>0.50886174722729738</v>
      </c>
    </row>
    <row r="224" spans="1:5" x14ac:dyDescent="0.3">
      <c r="A224" s="6" t="s">
        <v>23</v>
      </c>
      <c r="B224" s="7">
        <f>SUM(B225:B233)</f>
        <v>385970.14285714272</v>
      </c>
      <c r="C224" s="7">
        <f t="shared" ref="C224:D224" si="4">SUM(C225:C233)</f>
        <v>224186.14285714272</v>
      </c>
      <c r="D224" s="7">
        <f t="shared" si="4"/>
        <v>161784</v>
      </c>
      <c r="E224" s="1">
        <f t="shared" si="3"/>
        <v>0.41916195590258476</v>
      </c>
    </row>
    <row r="225" spans="1:5" x14ac:dyDescent="0.3">
      <c r="A225">
        <v>2019</v>
      </c>
      <c r="B225" s="2">
        <v>57260</v>
      </c>
      <c r="C225" s="2">
        <v>35488</v>
      </c>
      <c r="D225" s="2">
        <v>21772</v>
      </c>
      <c r="E225" s="1">
        <f t="shared" si="3"/>
        <v>0.38023052741879149</v>
      </c>
    </row>
    <row r="226" spans="1:5" x14ac:dyDescent="0.3">
      <c r="A226">
        <v>2020</v>
      </c>
      <c r="B226" s="2">
        <v>55279</v>
      </c>
      <c r="C226" s="2">
        <v>28264</v>
      </c>
      <c r="D226" s="2">
        <v>27015</v>
      </c>
      <c r="E226" s="1">
        <f t="shared" si="3"/>
        <v>0.4887027623509832</v>
      </c>
    </row>
    <row r="227" spans="1:5" x14ac:dyDescent="0.3">
      <c r="A227">
        <v>2021</v>
      </c>
      <c r="B227" s="2">
        <v>49261</v>
      </c>
      <c r="C227" s="2">
        <v>27248</v>
      </c>
      <c r="D227" s="2">
        <v>22013</v>
      </c>
      <c r="E227" s="1">
        <f t="shared" si="3"/>
        <v>0.44686465966992145</v>
      </c>
    </row>
    <row r="228" spans="1:5" x14ac:dyDescent="0.3">
      <c r="A228">
        <v>2022</v>
      </c>
      <c r="B228" s="2">
        <v>43407</v>
      </c>
      <c r="C228" s="2">
        <v>22557</v>
      </c>
      <c r="D228" s="2">
        <v>20850</v>
      </c>
      <c r="E228" s="1">
        <f t="shared" si="3"/>
        <v>0.48033727279010296</v>
      </c>
    </row>
    <row r="229" spans="1:5" x14ac:dyDescent="0.3">
      <c r="A229">
        <v>2023</v>
      </c>
      <c r="B229" s="2">
        <v>41839</v>
      </c>
      <c r="C229" s="2">
        <v>23518</v>
      </c>
      <c r="D229" s="2">
        <v>18321</v>
      </c>
      <c r="E229" s="1">
        <f t="shared" si="3"/>
        <v>0.43789287506871577</v>
      </c>
    </row>
    <row r="230" spans="1:5" x14ac:dyDescent="0.3">
      <c r="A230">
        <v>2024</v>
      </c>
      <c r="B230" s="2">
        <v>40065</v>
      </c>
      <c r="C230" s="2">
        <v>23855</v>
      </c>
      <c r="D230" s="2">
        <v>16210</v>
      </c>
      <c r="E230" s="1">
        <f t="shared" si="3"/>
        <v>0.40459253712716836</v>
      </c>
    </row>
    <row r="231" spans="1:5" x14ac:dyDescent="0.3">
      <c r="A231">
        <v>2025</v>
      </c>
      <c r="B231" s="2">
        <v>37426</v>
      </c>
      <c r="C231" s="2">
        <v>24680</v>
      </c>
      <c r="D231" s="2">
        <v>12746</v>
      </c>
      <c r="E231" s="1">
        <f t="shared" si="3"/>
        <v>0.34056538235451289</v>
      </c>
    </row>
    <row r="232" spans="1:5" x14ac:dyDescent="0.3">
      <c r="A232">
        <v>2026</v>
      </c>
      <c r="B232" s="2">
        <f>_xlfn.FORECAST.LINEAR(A232,B225:B231,A225:A231)</f>
        <v>32455</v>
      </c>
      <c r="C232" s="2">
        <f>_xlfn.FORECAST.LINEAR(A232,C225:C231,A225:A231)</f>
        <v>20091.142857142724</v>
      </c>
      <c r="D232" s="2">
        <f>B232-C232</f>
        <v>12363.857142857276</v>
      </c>
      <c r="E232" s="1">
        <f t="shared" si="3"/>
        <v>0.38095384818540368</v>
      </c>
    </row>
    <row r="233" spans="1:5" x14ac:dyDescent="0.3">
      <c r="A233">
        <v>2027</v>
      </c>
      <c r="B233" s="2">
        <f>_xlfn.FORECAST.LINEAR(A233,B225:B232,A225:A232)</f>
        <v>28978.142857142724</v>
      </c>
      <c r="C233" s="2">
        <f>_xlfn.FORECAST.LINEAR(A233,C225:C232,A225:A232)</f>
        <v>18485</v>
      </c>
      <c r="D233" s="2">
        <f>B233-C233</f>
        <v>10493.142857142724</v>
      </c>
      <c r="E233" s="1">
        <f t="shared" si="3"/>
        <v>0.36210542921511979</v>
      </c>
    </row>
    <row r="234" spans="1:5" x14ac:dyDescent="0.3">
      <c r="A234" s="6" t="s">
        <v>24</v>
      </c>
      <c r="B234" s="7">
        <f>SUM(B235:B243)</f>
        <v>39617.678571428551</v>
      </c>
      <c r="C234" s="7">
        <f t="shared" ref="C234:D234" si="5">SUM(C235:C243)</f>
        <v>22332.85714285713</v>
      </c>
      <c r="D234" s="7">
        <f t="shared" si="5"/>
        <v>17284.82142857142</v>
      </c>
      <c r="E234" s="1">
        <f t="shared" si="3"/>
        <v>0.43629061701350857</v>
      </c>
    </row>
    <row r="235" spans="1:5" x14ac:dyDescent="0.3">
      <c r="A235">
        <v>2019</v>
      </c>
      <c r="B235" s="2">
        <v>3483</v>
      </c>
      <c r="C235" s="2">
        <v>2124</v>
      </c>
      <c r="D235" s="2">
        <v>1359</v>
      </c>
      <c r="E235" s="1">
        <f t="shared" si="3"/>
        <v>0.39018087855297157</v>
      </c>
    </row>
    <row r="236" spans="1:5" x14ac:dyDescent="0.3">
      <c r="A236">
        <v>2020</v>
      </c>
      <c r="B236" s="2">
        <v>4717</v>
      </c>
      <c r="C236" s="2">
        <v>3017</v>
      </c>
      <c r="D236" s="2">
        <v>1700</v>
      </c>
      <c r="E236" s="1">
        <f t="shared" si="3"/>
        <v>0.3603985584057664</v>
      </c>
    </row>
    <row r="237" spans="1:5" x14ac:dyDescent="0.3">
      <c r="A237">
        <v>2021</v>
      </c>
      <c r="B237" s="2">
        <v>4637</v>
      </c>
      <c r="C237" s="2">
        <v>2891</v>
      </c>
      <c r="D237" s="2">
        <v>1746</v>
      </c>
      <c r="E237" s="1">
        <f t="shared" si="3"/>
        <v>0.37653655380634032</v>
      </c>
    </row>
    <row r="238" spans="1:5" x14ac:dyDescent="0.3">
      <c r="A238">
        <v>2022</v>
      </c>
      <c r="B238" s="2">
        <v>3829</v>
      </c>
      <c r="C238" s="2">
        <v>2394</v>
      </c>
      <c r="D238" s="2">
        <v>1435</v>
      </c>
      <c r="E238" s="1">
        <f t="shared" si="3"/>
        <v>0.37477148080438755</v>
      </c>
    </row>
    <row r="239" spans="1:5" x14ac:dyDescent="0.3">
      <c r="A239">
        <v>2023</v>
      </c>
      <c r="B239" s="2">
        <v>3988</v>
      </c>
      <c r="C239" s="2">
        <v>1904</v>
      </c>
      <c r="D239" s="2">
        <v>2084</v>
      </c>
      <c r="E239" s="1">
        <f t="shared" si="3"/>
        <v>0.52256770310932799</v>
      </c>
    </row>
    <row r="240" spans="1:5" x14ac:dyDescent="0.3">
      <c r="A240">
        <v>2024</v>
      </c>
      <c r="B240" s="2">
        <v>4846</v>
      </c>
      <c r="C240" s="2">
        <v>2742</v>
      </c>
      <c r="D240" s="2">
        <v>2104</v>
      </c>
      <c r="E240" s="1">
        <f t="shared" si="3"/>
        <v>0.43417251341312424</v>
      </c>
    </row>
    <row r="241" spans="1:12" x14ac:dyDescent="0.3">
      <c r="A241">
        <v>2025</v>
      </c>
      <c r="B241" s="2">
        <v>4585</v>
      </c>
      <c r="C241" s="2">
        <v>2443</v>
      </c>
      <c r="D241" s="2">
        <v>2142</v>
      </c>
      <c r="E241" s="1">
        <f t="shared" si="3"/>
        <v>0.46717557251908398</v>
      </c>
    </row>
    <row r="242" spans="1:12" x14ac:dyDescent="0.3">
      <c r="A242">
        <v>2026</v>
      </c>
      <c r="B242" s="2">
        <f>_xlfn.FORECAST.LINEAR(A242,B235:B241,A235:A241)</f>
        <v>4714.2857142857101</v>
      </c>
      <c r="C242" s="2">
        <f>_xlfn.FORECAST.LINEAR(A242,C235:C241,A235:A241)</f>
        <v>2419.2857142857101</v>
      </c>
      <c r="D242" s="2">
        <f>B242-C242</f>
        <v>2295</v>
      </c>
      <c r="E242" s="1">
        <f t="shared" si="3"/>
        <v>0.48681818181818226</v>
      </c>
    </row>
    <row r="243" spans="1:12" x14ac:dyDescent="0.3">
      <c r="A243">
        <v>2027</v>
      </c>
      <c r="B243" s="2">
        <f>_xlfn.FORECAST.LINEAR(A243,B235:B242,A235:A242)</f>
        <v>4818.3928571428405</v>
      </c>
      <c r="C243" s="2">
        <f>_xlfn.FORECAST.LINEAR(A243,C235:C242,A235:A242)</f>
        <v>2398.5714285714203</v>
      </c>
      <c r="D243" s="2">
        <f>B243-C243</f>
        <v>2419.8214285714203</v>
      </c>
      <c r="E243" s="1">
        <f t="shared" si="3"/>
        <v>0.50220509209502284</v>
      </c>
    </row>
    <row r="244" spans="1:12" x14ac:dyDescent="0.3">
      <c r="A244" s="6" t="s">
        <v>25</v>
      </c>
      <c r="B244" s="7">
        <f>SUM(B245:B253)</f>
        <v>250845.75</v>
      </c>
      <c r="C244" s="7">
        <f t="shared" ref="C244:D244" si="6">SUM(C245:C253)</f>
        <v>101506.17857142864</v>
      </c>
      <c r="D244" s="7">
        <f t="shared" si="6"/>
        <v>149339.57142857136</v>
      </c>
      <c r="E244" s="1">
        <f t="shared" si="3"/>
        <v>0.59534423616334486</v>
      </c>
    </row>
    <row r="245" spans="1:12" x14ac:dyDescent="0.3">
      <c r="A245">
        <v>2019</v>
      </c>
      <c r="B245" s="2">
        <v>15325</v>
      </c>
      <c r="C245" s="2">
        <v>6170</v>
      </c>
      <c r="D245" s="2">
        <v>9155</v>
      </c>
      <c r="E245" s="1">
        <f t="shared" si="3"/>
        <v>0.59738988580750407</v>
      </c>
    </row>
    <row r="246" spans="1:12" x14ac:dyDescent="0.3">
      <c r="A246">
        <v>2020</v>
      </c>
      <c r="B246" s="2">
        <v>30562</v>
      </c>
      <c r="C246" s="2">
        <v>11928</v>
      </c>
      <c r="D246" s="2">
        <v>18634</v>
      </c>
      <c r="E246" s="1">
        <f t="shared" si="3"/>
        <v>0.60971140632157583</v>
      </c>
    </row>
    <row r="247" spans="1:12" x14ac:dyDescent="0.3">
      <c r="A247">
        <v>2021</v>
      </c>
      <c r="B247" s="2">
        <v>29494</v>
      </c>
      <c r="C247" s="2">
        <v>12544</v>
      </c>
      <c r="D247" s="2">
        <v>16950</v>
      </c>
      <c r="E247" s="1">
        <f t="shared" ref="E247:E329" si="7">D247/B247</f>
        <v>0.57469315793042652</v>
      </c>
    </row>
    <row r="248" spans="1:12" x14ac:dyDescent="0.3">
      <c r="A248">
        <v>2022</v>
      </c>
      <c r="B248" s="2">
        <v>27199</v>
      </c>
      <c r="C248" s="2">
        <v>11237</v>
      </c>
      <c r="D248" s="2">
        <v>15962</v>
      </c>
      <c r="E248" s="1">
        <f t="shared" si="7"/>
        <v>0.5868598110224641</v>
      </c>
    </row>
    <row r="249" spans="1:12" x14ac:dyDescent="0.3">
      <c r="A249">
        <v>2023</v>
      </c>
      <c r="B249" s="2">
        <v>30786</v>
      </c>
      <c r="C249" s="2">
        <v>11219</v>
      </c>
      <c r="D249" s="2">
        <v>19567</v>
      </c>
      <c r="E249" s="1">
        <f t="shared" si="7"/>
        <v>0.63558110829597869</v>
      </c>
    </row>
    <row r="250" spans="1:12" x14ac:dyDescent="0.3">
      <c r="A250">
        <v>2024</v>
      </c>
      <c r="B250" s="2">
        <v>32227</v>
      </c>
      <c r="C250" s="2">
        <v>14275</v>
      </c>
      <c r="D250" s="2">
        <v>17952</v>
      </c>
      <c r="E250" s="1">
        <f t="shared" si="7"/>
        <v>0.55704843764545253</v>
      </c>
    </row>
    <row r="251" spans="1:12" x14ac:dyDescent="0.3">
      <c r="A251">
        <v>2025</v>
      </c>
      <c r="B251" s="2">
        <v>22770</v>
      </c>
      <c r="C251" s="2">
        <v>8778</v>
      </c>
      <c r="D251" s="2">
        <v>13992</v>
      </c>
      <c r="E251" s="1">
        <f t="shared" si="7"/>
        <v>0.61449275362318845</v>
      </c>
    </row>
    <row r="252" spans="1:12" x14ac:dyDescent="0.3">
      <c r="A252">
        <v>2026</v>
      </c>
      <c r="B252" s="2">
        <f>_xlfn.FORECAST.LINEAR(A252,B245:B251,A245:A251)</f>
        <v>30760</v>
      </c>
      <c r="C252" s="2">
        <f>_xlfn.FORECAST.LINEAR(A252,C245:C251,A245:A251)</f>
        <v>12477.714285714319</v>
      </c>
      <c r="D252" s="2">
        <f>B252-C252</f>
        <v>18282.285714285681</v>
      </c>
      <c r="E252" s="1">
        <f t="shared" si="7"/>
        <v>0.59435259149173214</v>
      </c>
    </row>
    <row r="253" spans="1:12" x14ac:dyDescent="0.3">
      <c r="A253">
        <v>2027</v>
      </c>
      <c r="B253" s="2">
        <f>_xlfn.FORECAST.LINEAR(A253,B245:B252,A245:A252)</f>
        <v>31722.75</v>
      </c>
      <c r="C253" s="2">
        <f>_xlfn.FORECAST.LINEAR(A253,C245:C252,A245:A252)</f>
        <v>12877.464285714319</v>
      </c>
      <c r="D253" s="2">
        <f>B253-C253</f>
        <v>18845.285714285681</v>
      </c>
      <c r="E253" s="1">
        <f t="shared" si="7"/>
        <v>0.59406217034417508</v>
      </c>
    </row>
    <row r="254" spans="1:12" x14ac:dyDescent="0.3">
      <c r="A254" s="6" t="s">
        <v>92</v>
      </c>
      <c r="B254" s="7">
        <v>22385</v>
      </c>
      <c r="C254" s="7">
        <v>2292</v>
      </c>
      <c r="D254" s="7">
        <v>20093</v>
      </c>
      <c r="E254" s="1">
        <f t="shared" si="7"/>
        <v>0.89761000670091584</v>
      </c>
      <c r="G254" s="68" t="s">
        <v>186</v>
      </c>
      <c r="H254" s="68"/>
      <c r="I254" s="68"/>
      <c r="J254" s="68"/>
      <c r="K254" s="68"/>
      <c r="L254" s="68"/>
    </row>
    <row r="255" spans="1:12" x14ac:dyDescent="0.3">
      <c r="A255">
        <v>2025</v>
      </c>
      <c r="B255" s="2">
        <v>22385</v>
      </c>
      <c r="C255" s="2">
        <v>2292</v>
      </c>
      <c r="D255" s="2">
        <v>20093</v>
      </c>
      <c r="E255" s="1">
        <f t="shared" si="7"/>
        <v>0.89761000670091584</v>
      </c>
      <c r="G255" s="68"/>
      <c r="H255" s="68"/>
      <c r="I255" s="68"/>
      <c r="J255" s="68"/>
      <c r="K255" s="68"/>
      <c r="L255" s="68"/>
    </row>
    <row r="256" spans="1:12" x14ac:dyDescent="0.3">
      <c r="A256">
        <v>2026</v>
      </c>
      <c r="B256" s="2">
        <f>B255*(0.79)</f>
        <v>17684.150000000001</v>
      </c>
      <c r="C256" s="2">
        <f>C255*(0.79)</f>
        <v>1810.68</v>
      </c>
      <c r="D256" s="2">
        <f>B256-C256</f>
        <v>15873.470000000001</v>
      </c>
      <c r="E256" s="1">
        <f t="shared" si="7"/>
        <v>0.89761000670091573</v>
      </c>
    </row>
    <row r="257" spans="1:11" x14ac:dyDescent="0.3">
      <c r="A257">
        <v>2027</v>
      </c>
      <c r="B257" s="2">
        <f>B256*(0.59)</f>
        <v>10433.648500000001</v>
      </c>
      <c r="C257" s="2">
        <f>C256*(0.59)</f>
        <v>1068.3011999999999</v>
      </c>
      <c r="D257" s="2">
        <f>B257-C257</f>
        <v>9365.3473000000013</v>
      </c>
      <c r="E257" s="1">
        <f t="shared" si="7"/>
        <v>0.89761000670091584</v>
      </c>
    </row>
    <row r="258" spans="1:11" x14ac:dyDescent="0.3">
      <c r="A258" s="6" t="s">
        <v>26</v>
      </c>
      <c r="B258" s="7">
        <f>SUM(B259:B267)</f>
        <v>1148239.9285714179</v>
      </c>
      <c r="C258" s="7">
        <f t="shared" ref="C258:D258" si="8">SUM(C259:C267)</f>
        <v>672589.92857143283</v>
      </c>
      <c r="D258" s="7">
        <f t="shared" si="8"/>
        <v>475649.9999999851</v>
      </c>
      <c r="E258" s="1">
        <f t="shared" si="7"/>
        <v>0.41424269280703796</v>
      </c>
    </row>
    <row r="259" spans="1:11" x14ac:dyDescent="0.3">
      <c r="A259">
        <v>2019</v>
      </c>
      <c r="B259" s="2">
        <v>219045</v>
      </c>
      <c r="C259" s="2">
        <v>158635</v>
      </c>
      <c r="D259" s="2">
        <v>60410</v>
      </c>
      <c r="E259" s="1">
        <f t="shared" si="7"/>
        <v>0.27578808007487043</v>
      </c>
    </row>
    <row r="260" spans="1:11" x14ac:dyDescent="0.3">
      <c r="A260">
        <v>2020</v>
      </c>
      <c r="B260" s="2">
        <v>210570</v>
      </c>
      <c r="C260" s="2">
        <v>118922</v>
      </c>
      <c r="D260" s="2">
        <v>91648</v>
      </c>
      <c r="E260" s="1">
        <f t="shared" si="7"/>
        <v>0.43523768817970271</v>
      </c>
    </row>
    <row r="261" spans="1:11" x14ac:dyDescent="0.3">
      <c r="A261">
        <v>2021</v>
      </c>
      <c r="B261" s="2">
        <v>140529</v>
      </c>
      <c r="C261" s="2">
        <v>83882</v>
      </c>
      <c r="D261" s="2">
        <v>56647</v>
      </c>
      <c r="E261" s="1">
        <f t="shared" si="7"/>
        <v>0.40309829287904986</v>
      </c>
    </row>
    <row r="262" spans="1:11" x14ac:dyDescent="0.3">
      <c r="A262">
        <v>2022</v>
      </c>
      <c r="B262" s="2">
        <v>106092</v>
      </c>
      <c r="C262" s="2">
        <v>56450</v>
      </c>
      <c r="D262" s="2">
        <v>49642</v>
      </c>
      <c r="E262" s="1">
        <f t="shared" si="7"/>
        <v>0.46791464012366624</v>
      </c>
    </row>
    <row r="263" spans="1:11" x14ac:dyDescent="0.3">
      <c r="A263">
        <v>2023</v>
      </c>
      <c r="B263" s="2">
        <v>111784</v>
      </c>
      <c r="C263" s="2">
        <v>52442</v>
      </c>
      <c r="D263" s="2">
        <v>59342</v>
      </c>
      <c r="E263" s="1">
        <f t="shared" si="7"/>
        <v>0.53086309310813717</v>
      </c>
    </row>
    <row r="264" spans="1:11" x14ac:dyDescent="0.3">
      <c r="A264">
        <v>2024</v>
      </c>
      <c r="B264" s="2">
        <v>123792</v>
      </c>
      <c r="C264" s="2">
        <v>71499</v>
      </c>
      <c r="D264" s="2">
        <v>52293</v>
      </c>
      <c r="E264" s="1">
        <f t="shared" si="7"/>
        <v>0.42242632803412178</v>
      </c>
    </row>
    <row r="265" spans="1:11" x14ac:dyDescent="0.3">
      <c r="A265">
        <v>2025</v>
      </c>
      <c r="B265" s="2">
        <v>112070</v>
      </c>
      <c r="C265" s="2">
        <v>75339</v>
      </c>
      <c r="D265" s="2">
        <v>36731</v>
      </c>
      <c r="E265" s="1">
        <f t="shared" si="7"/>
        <v>0.327750513072187</v>
      </c>
    </row>
    <row r="266" spans="1:11" x14ac:dyDescent="0.3">
      <c r="A266">
        <v>2026</v>
      </c>
      <c r="B266" s="2">
        <f>_xlfn.FORECAST.LINEAR(A266,B259:B265,A259:A265)</f>
        <v>71522.285714283586</v>
      </c>
      <c r="C266" s="2">
        <f>_xlfn.FORECAST.LINEAR(A266,C259:C265,A259:A265)</f>
        <v>34427.857142858207</v>
      </c>
      <c r="D266" s="2">
        <f>B266-C266</f>
        <v>37094.428571425378</v>
      </c>
      <c r="E266" s="1">
        <f t="shared" si="7"/>
        <v>0.51864154229647774</v>
      </c>
    </row>
    <row r="267" spans="1:11" x14ac:dyDescent="0.3">
      <c r="A267">
        <v>2027</v>
      </c>
      <c r="B267" s="2">
        <f>_xlfn.FORECAST.LINEAR(A267,B259:B266,A259:A266)</f>
        <v>52835.642857134342</v>
      </c>
      <c r="C267" s="2">
        <f>_xlfn.FORECAST.LINEAR(A267,C259:C266,A259:A266)</f>
        <v>20993.071428574622</v>
      </c>
      <c r="D267" s="2">
        <f>B267-C267</f>
        <v>31842.571428559721</v>
      </c>
      <c r="E267" s="1">
        <f t="shared" si="7"/>
        <v>0.60267216800334722</v>
      </c>
    </row>
    <row r="268" spans="1:11" x14ac:dyDescent="0.3">
      <c r="A268" s="6" t="s">
        <v>27</v>
      </c>
      <c r="B268" s="7">
        <f>SUM(B269:B277)</f>
        <v>433279.60714285821</v>
      </c>
      <c r="C268" s="7">
        <f t="shared" ref="C268:D268" si="9">SUM(C269:C277)</f>
        <v>225537.10714285821</v>
      </c>
      <c r="D268" s="7">
        <f t="shared" si="9"/>
        <v>207742.5</v>
      </c>
      <c r="E268" s="1">
        <f t="shared" si="7"/>
        <v>0.47946521501415701</v>
      </c>
      <c r="F268" s="65"/>
      <c r="G268" s="65"/>
      <c r="H268" s="65"/>
      <c r="I268" s="65"/>
      <c r="J268" s="65"/>
      <c r="K268" s="65"/>
    </row>
    <row r="269" spans="1:11" x14ac:dyDescent="0.3">
      <c r="A269">
        <v>2019</v>
      </c>
      <c r="B269" s="2">
        <v>72219</v>
      </c>
      <c r="C269" s="2">
        <v>32580</v>
      </c>
      <c r="D269" s="2">
        <v>39639</v>
      </c>
      <c r="E269" s="1">
        <f t="shared" si="7"/>
        <v>0.54887218045112784</v>
      </c>
      <c r="F269" t="s">
        <v>186</v>
      </c>
    </row>
    <row r="270" spans="1:11" x14ac:dyDescent="0.3">
      <c r="A270">
        <v>2020</v>
      </c>
      <c r="B270" s="2">
        <v>98124</v>
      </c>
      <c r="C270" s="2">
        <v>42174</v>
      </c>
      <c r="D270" s="2">
        <v>55950</v>
      </c>
      <c r="E270" s="1">
        <f t="shared" si="7"/>
        <v>0.57019689372630544</v>
      </c>
      <c r="F270" s="65"/>
      <c r="G270" s="65"/>
      <c r="H270" s="65"/>
      <c r="I270" s="65"/>
      <c r="J270" s="65"/>
      <c r="K270" s="65"/>
    </row>
    <row r="271" spans="1:11" x14ac:dyDescent="0.3">
      <c r="A271">
        <v>2021</v>
      </c>
      <c r="B271" s="2">
        <v>85944</v>
      </c>
      <c r="C271" s="2">
        <v>43225</v>
      </c>
      <c r="D271" s="2">
        <v>42719</v>
      </c>
      <c r="E271" s="1">
        <f t="shared" si="7"/>
        <v>0.49705622265661359</v>
      </c>
    </row>
    <row r="272" spans="1:11" x14ac:dyDescent="0.3">
      <c r="A272">
        <v>2022</v>
      </c>
      <c r="B272" s="2">
        <v>60144</v>
      </c>
      <c r="C272" s="2">
        <v>32677</v>
      </c>
      <c r="D272" s="2">
        <v>27467</v>
      </c>
      <c r="E272" s="1">
        <f t="shared" si="7"/>
        <v>0.45668728385208834</v>
      </c>
    </row>
    <row r="273" spans="1:10" x14ac:dyDescent="0.3">
      <c r="A273">
        <v>2023</v>
      </c>
      <c r="B273" s="2">
        <v>37355</v>
      </c>
      <c r="C273" s="2">
        <v>20286</v>
      </c>
      <c r="D273" s="2">
        <v>17069</v>
      </c>
      <c r="E273" s="1">
        <f t="shared" si="7"/>
        <v>0.45694016865212156</v>
      </c>
    </row>
    <row r="274" spans="1:10" x14ac:dyDescent="0.3">
      <c r="A274">
        <v>2024</v>
      </c>
      <c r="B274" s="2">
        <v>31549</v>
      </c>
      <c r="C274" s="2">
        <v>19480</v>
      </c>
      <c r="D274" s="2">
        <v>12069</v>
      </c>
      <c r="E274" s="1">
        <f t="shared" si="7"/>
        <v>0.38254778281403529</v>
      </c>
    </row>
    <row r="275" spans="1:10" x14ac:dyDescent="0.3">
      <c r="A275">
        <v>2025</v>
      </c>
      <c r="B275" s="2">
        <v>29291</v>
      </c>
      <c r="C275" s="2">
        <v>15150</v>
      </c>
      <c r="D275" s="2">
        <v>14141</v>
      </c>
      <c r="E275" s="1">
        <f t="shared" si="7"/>
        <v>0.48277627940322965</v>
      </c>
      <c r="G275" t="s">
        <v>131</v>
      </c>
      <c r="H275" t="s">
        <v>132</v>
      </c>
      <c r="I275" t="s">
        <v>129</v>
      </c>
      <c r="J275" t="s">
        <v>130</v>
      </c>
    </row>
    <row r="276" spans="1:10" x14ac:dyDescent="0.3">
      <c r="A276">
        <v>2026</v>
      </c>
      <c r="B276" s="2">
        <f>_xlfn.FORECAST.LINEAR(A276,B269:B275,A269:A275)</f>
        <v>14871.857142858207</v>
      </c>
      <c r="C276" s="2">
        <f>_xlfn.FORECAST.LINEAR(A276,C269:C275,A269:A275)</f>
        <v>12136.428571429104</v>
      </c>
      <c r="D276" s="2">
        <f>B276-C276</f>
        <v>2735.4285714291036</v>
      </c>
      <c r="E276" s="1">
        <f t="shared" si="7"/>
        <v>0.18393321998407688</v>
      </c>
      <c r="F276">
        <v>2026</v>
      </c>
      <c r="G276" s="20">
        <f>B275*(0.79)</f>
        <v>23139.89</v>
      </c>
      <c r="H276" s="20">
        <f>C275*(0.79)</f>
        <v>11968.5</v>
      </c>
      <c r="I276" s="20">
        <f>G276-H276</f>
        <v>11171.39</v>
      </c>
      <c r="J276" s="1">
        <f>I276/G276</f>
        <v>0.48277627940322965</v>
      </c>
    </row>
    <row r="277" spans="1:10" x14ac:dyDescent="0.3">
      <c r="A277">
        <v>2027</v>
      </c>
      <c r="B277" s="2">
        <f>_xlfn.FORECAST.LINEAR(A277,B269:B276,A269:A276)</f>
        <v>3781.75</v>
      </c>
      <c r="C277" s="2">
        <f>_xlfn.FORECAST.LINEAR(A277,C269:C276,A269:A276)</f>
        <v>7828.6785714291036</v>
      </c>
      <c r="D277" s="2">
        <f>B277-C277</f>
        <v>-4046.9285714291036</v>
      </c>
      <c r="E277" s="1">
        <f t="shared" si="7"/>
        <v>-1.0701205979848227</v>
      </c>
      <c r="F277">
        <v>2027</v>
      </c>
      <c r="G277" s="20">
        <f>G276*(0.59)</f>
        <v>13652.535099999999</v>
      </c>
      <c r="H277" s="20">
        <f>H276*(0.59)</f>
        <v>7061.415</v>
      </c>
      <c r="I277" s="20">
        <f>G277-H277</f>
        <v>6591.1200999999992</v>
      </c>
      <c r="J277" s="1">
        <f>I277/G277</f>
        <v>0.48277627940322965</v>
      </c>
    </row>
    <row r="278" spans="1:10" x14ac:dyDescent="0.3">
      <c r="A278" s="6" t="s">
        <v>28</v>
      </c>
      <c r="B278" s="7">
        <f>SUM(B279:B287)</f>
        <v>495460.28571428545</v>
      </c>
      <c r="C278" s="7">
        <f t="shared" ref="C278:D278" si="10">SUM(C279:C287)</f>
        <v>228338.03571428731</v>
      </c>
      <c r="D278" s="7">
        <f t="shared" si="10"/>
        <v>267122.24999999814</v>
      </c>
      <c r="E278" s="1">
        <f t="shared" si="7"/>
        <v>0.53913957930028356</v>
      </c>
    </row>
    <row r="279" spans="1:10" x14ac:dyDescent="0.3">
      <c r="A279">
        <v>2019</v>
      </c>
      <c r="B279" s="2">
        <v>78464</v>
      </c>
      <c r="C279" s="2">
        <v>43489</v>
      </c>
      <c r="D279" s="2">
        <v>34975</v>
      </c>
      <c r="E279" s="1">
        <f t="shared" si="7"/>
        <v>0.44574581973898858</v>
      </c>
    </row>
    <row r="280" spans="1:10" x14ac:dyDescent="0.3">
      <c r="A280">
        <v>2020</v>
      </c>
      <c r="B280" s="2">
        <v>68205</v>
      </c>
      <c r="C280" s="2">
        <v>35232</v>
      </c>
      <c r="D280" s="2">
        <v>32973</v>
      </c>
      <c r="E280" s="1">
        <f t="shared" si="7"/>
        <v>0.48343963052562128</v>
      </c>
    </row>
    <row r="281" spans="1:10" x14ac:dyDescent="0.3">
      <c r="A281">
        <v>2021</v>
      </c>
      <c r="B281" s="2">
        <v>76111</v>
      </c>
      <c r="C281" s="2">
        <v>34567</v>
      </c>
      <c r="D281" s="2">
        <v>41544</v>
      </c>
      <c r="E281" s="1">
        <f t="shared" si="7"/>
        <v>0.54583437348083719</v>
      </c>
    </row>
    <row r="282" spans="1:10" x14ac:dyDescent="0.3">
      <c r="A282">
        <v>2022</v>
      </c>
      <c r="B282" s="2">
        <v>50866</v>
      </c>
      <c r="C282" s="2">
        <v>18118</v>
      </c>
      <c r="D282" s="2">
        <v>32748</v>
      </c>
      <c r="E282" s="1">
        <f t="shared" si="7"/>
        <v>0.64380922423622855</v>
      </c>
    </row>
    <row r="283" spans="1:10" x14ac:dyDescent="0.3">
      <c r="A283">
        <v>2023</v>
      </c>
      <c r="B283" s="2">
        <v>51351</v>
      </c>
      <c r="C283" s="2">
        <v>26191</v>
      </c>
      <c r="D283" s="2">
        <v>25160</v>
      </c>
      <c r="E283" s="1">
        <f t="shared" si="7"/>
        <v>0.48996124710326966</v>
      </c>
    </row>
    <row r="284" spans="1:10" x14ac:dyDescent="0.3">
      <c r="A284">
        <v>2024</v>
      </c>
      <c r="B284" s="2">
        <v>44298</v>
      </c>
      <c r="C284" s="2">
        <v>20026</v>
      </c>
      <c r="D284" s="2">
        <v>24272</v>
      </c>
      <c r="E284" s="1">
        <f t="shared" si="7"/>
        <v>0.54792541423992058</v>
      </c>
    </row>
    <row r="285" spans="1:10" x14ac:dyDescent="0.3">
      <c r="A285">
        <v>2025</v>
      </c>
      <c r="B285" s="2">
        <v>53174</v>
      </c>
      <c r="C285" s="2">
        <v>24164</v>
      </c>
      <c r="D285" s="2">
        <v>29010</v>
      </c>
      <c r="E285" s="1">
        <f t="shared" si="7"/>
        <v>0.54556738255538417</v>
      </c>
    </row>
    <row r="286" spans="1:10" x14ac:dyDescent="0.3">
      <c r="A286">
        <v>2026</v>
      </c>
      <c r="B286" s="2">
        <f>_xlfn.FORECAST.LINEAR(A286,B279:B285,A279:A285)</f>
        <v>39146.428571429104</v>
      </c>
      <c r="C286" s="2">
        <f>_xlfn.FORECAST.LINEAR(A286,C279:C285,A279:A285)</f>
        <v>15003.428571429104</v>
      </c>
      <c r="D286" s="2">
        <f>B286-C286</f>
        <v>24143</v>
      </c>
      <c r="E286" s="1">
        <f t="shared" si="7"/>
        <v>0.61673569929750094</v>
      </c>
    </row>
    <row r="287" spans="1:10" x14ac:dyDescent="0.3">
      <c r="A287">
        <v>2027</v>
      </c>
      <c r="B287" s="2">
        <f>_xlfn.FORECAST.LINEAR(A287,B279:B286,A279:A286)</f>
        <v>33844.857142856345</v>
      </c>
      <c r="C287" s="2">
        <f>_xlfn.FORECAST.LINEAR(A287,C279:C286,A279:A286)</f>
        <v>11547.607142858207</v>
      </c>
      <c r="D287" s="2">
        <f>B287-C287</f>
        <v>22297.249999998137</v>
      </c>
      <c r="E287" s="1">
        <f t="shared" si="7"/>
        <v>0.65880762639603674</v>
      </c>
    </row>
    <row r="288" spans="1:10" x14ac:dyDescent="0.3">
      <c r="A288" s="6" t="s">
        <v>29</v>
      </c>
      <c r="B288" s="7">
        <v>2807</v>
      </c>
      <c r="C288" s="7">
        <v>1474</v>
      </c>
      <c r="D288" s="7">
        <v>1333</v>
      </c>
      <c r="E288" s="1">
        <f t="shared" si="7"/>
        <v>0.47488421802636266</v>
      </c>
    </row>
    <row r="289" spans="1:10" x14ac:dyDescent="0.3">
      <c r="A289">
        <v>2019</v>
      </c>
      <c r="B289" s="2">
        <v>2807</v>
      </c>
      <c r="C289" s="2">
        <v>1456</v>
      </c>
      <c r="D289" s="2">
        <v>1351</v>
      </c>
      <c r="E289" s="1">
        <f t="shared" si="7"/>
        <v>0.48129675810473815</v>
      </c>
      <c r="G289" s="68" t="s">
        <v>186</v>
      </c>
      <c r="H289" s="68"/>
      <c r="I289" s="68"/>
      <c r="J289" s="68"/>
    </row>
    <row r="290" spans="1:10" x14ac:dyDescent="0.3">
      <c r="A290">
        <v>2021</v>
      </c>
      <c r="B290" s="2">
        <v>0</v>
      </c>
      <c r="C290" s="2">
        <v>3</v>
      </c>
      <c r="D290" s="2">
        <v>-3</v>
      </c>
      <c r="E290" s="1" t="e">
        <f t="shared" si="7"/>
        <v>#DIV/0!</v>
      </c>
      <c r="G290" s="68"/>
      <c r="H290" s="68"/>
      <c r="I290" s="68"/>
      <c r="J290" s="68"/>
    </row>
    <row r="291" spans="1:10" x14ac:dyDescent="0.3">
      <c r="A291">
        <v>2022</v>
      </c>
      <c r="B291" s="2">
        <v>0</v>
      </c>
      <c r="C291" s="2">
        <v>8</v>
      </c>
      <c r="D291" s="2">
        <v>-8</v>
      </c>
      <c r="E291" s="1" t="e">
        <f t="shared" si="7"/>
        <v>#DIV/0!</v>
      </c>
      <c r="G291" s="65"/>
      <c r="H291" s="65"/>
      <c r="I291" s="65"/>
      <c r="J291" s="65"/>
    </row>
    <row r="292" spans="1:10" x14ac:dyDescent="0.3">
      <c r="A292">
        <v>2023</v>
      </c>
      <c r="B292" s="2">
        <v>0</v>
      </c>
      <c r="C292" s="2">
        <v>6</v>
      </c>
      <c r="D292" s="2">
        <v>-6</v>
      </c>
      <c r="E292" s="1" t="e">
        <f t="shared" si="7"/>
        <v>#DIV/0!</v>
      </c>
      <c r="G292" s="65"/>
      <c r="H292" s="65"/>
      <c r="I292" s="65"/>
      <c r="J292" s="65"/>
    </row>
    <row r="293" spans="1:10" x14ac:dyDescent="0.3">
      <c r="A293">
        <v>2024</v>
      </c>
      <c r="B293" s="2">
        <v>0</v>
      </c>
      <c r="C293" s="2">
        <v>1</v>
      </c>
      <c r="D293" s="2">
        <v>-1</v>
      </c>
      <c r="E293" s="1" t="e">
        <f t="shared" si="7"/>
        <v>#DIV/0!</v>
      </c>
      <c r="G293" s="65"/>
      <c r="H293" s="65"/>
      <c r="I293" s="65"/>
      <c r="J293" s="65"/>
    </row>
    <row r="294" spans="1:10" x14ac:dyDescent="0.3">
      <c r="A294">
        <v>2025</v>
      </c>
      <c r="B294" s="2" t="s">
        <v>127</v>
      </c>
      <c r="C294" s="2" t="s">
        <v>127</v>
      </c>
      <c r="E294" s="1" t="e">
        <f t="shared" si="7"/>
        <v>#VALUE!</v>
      </c>
    </row>
    <row r="295" spans="1:10" x14ac:dyDescent="0.3">
      <c r="A295">
        <v>2026</v>
      </c>
      <c r="B295" s="2">
        <f>B289*(0.89)</f>
        <v>2498.23</v>
      </c>
      <c r="C295" s="2">
        <f>C289*(0.89)</f>
        <v>1295.8399999999999</v>
      </c>
      <c r="D295" s="2">
        <f>B295-C295</f>
        <v>1202.3900000000001</v>
      </c>
      <c r="E295" s="1">
        <f t="shared" si="7"/>
        <v>0.48129675810473821</v>
      </c>
    </row>
    <row r="296" spans="1:10" x14ac:dyDescent="0.3">
      <c r="A296">
        <v>2027</v>
      </c>
      <c r="B296" s="2">
        <f>B295*(0.58)</f>
        <v>1448.9733999999999</v>
      </c>
      <c r="C296" s="2">
        <f>C295*(0.58)</f>
        <v>751.58719999999994</v>
      </c>
      <c r="D296" s="2">
        <f>B296-C296</f>
        <v>697.38619999999992</v>
      </c>
      <c r="E296" s="1">
        <f t="shared" si="7"/>
        <v>0.48129675810473815</v>
      </c>
    </row>
    <row r="297" spans="1:10" x14ac:dyDescent="0.3">
      <c r="A297" s="6" t="s">
        <v>30</v>
      </c>
      <c r="B297" s="7">
        <f>SUM(B298:B306)</f>
        <v>229337.67857142841</v>
      </c>
      <c r="C297" s="7">
        <f t="shared" ref="C297:D297" si="11">SUM(C298:C306)</f>
        <v>94086.32142857142</v>
      </c>
      <c r="D297" s="7">
        <f t="shared" si="11"/>
        <v>135251.35714285698</v>
      </c>
      <c r="E297" s="1">
        <f t="shared" si="7"/>
        <v>0.58974765064926848</v>
      </c>
    </row>
    <row r="298" spans="1:10" x14ac:dyDescent="0.3">
      <c r="A298">
        <v>2019</v>
      </c>
      <c r="B298" s="2">
        <v>26154</v>
      </c>
      <c r="C298" s="2">
        <v>12392</v>
      </c>
      <c r="D298" s="2">
        <v>13762</v>
      </c>
      <c r="E298" s="1">
        <f t="shared" si="7"/>
        <v>0.52619102240575055</v>
      </c>
    </row>
    <row r="299" spans="1:10" x14ac:dyDescent="0.3">
      <c r="A299">
        <v>2020</v>
      </c>
      <c r="B299" s="2">
        <v>28126</v>
      </c>
      <c r="C299" s="2">
        <v>9065</v>
      </c>
      <c r="D299" s="2">
        <v>19061</v>
      </c>
      <c r="E299" s="1">
        <f t="shared" si="7"/>
        <v>0.67770034843205573</v>
      </c>
    </row>
    <row r="300" spans="1:10" x14ac:dyDescent="0.3">
      <c r="A300">
        <v>2021</v>
      </c>
      <c r="B300" s="2">
        <v>26356</v>
      </c>
      <c r="C300" s="2">
        <v>7851</v>
      </c>
      <c r="D300" s="2">
        <v>18505</v>
      </c>
      <c r="E300" s="1">
        <f t="shared" si="7"/>
        <v>0.70211716497192289</v>
      </c>
    </row>
    <row r="301" spans="1:10" x14ac:dyDescent="0.3">
      <c r="A301">
        <v>2022</v>
      </c>
      <c r="B301" s="2">
        <v>27490</v>
      </c>
      <c r="C301" s="2">
        <v>11080</v>
      </c>
      <c r="D301" s="2">
        <v>16410</v>
      </c>
      <c r="E301" s="1">
        <f t="shared" si="7"/>
        <v>0.59694434339759916</v>
      </c>
    </row>
    <row r="302" spans="1:10" x14ac:dyDescent="0.3">
      <c r="A302">
        <v>2023</v>
      </c>
      <c r="B302" s="2">
        <v>28540</v>
      </c>
      <c r="C302" s="2">
        <v>11698</v>
      </c>
      <c r="D302" s="2">
        <v>16842</v>
      </c>
      <c r="E302" s="1">
        <f t="shared" si="7"/>
        <v>0.59011913104414859</v>
      </c>
    </row>
    <row r="303" spans="1:10" x14ac:dyDescent="0.3">
      <c r="A303">
        <v>2024</v>
      </c>
      <c r="B303" s="2">
        <v>27875</v>
      </c>
      <c r="C303" s="2">
        <v>12124</v>
      </c>
      <c r="D303" s="2">
        <v>15751</v>
      </c>
      <c r="E303" s="1">
        <f t="shared" si="7"/>
        <v>0.5650582959641256</v>
      </c>
    </row>
    <row r="304" spans="1:10" x14ac:dyDescent="0.3">
      <c r="A304">
        <v>2025</v>
      </c>
      <c r="B304" s="2">
        <v>18873</v>
      </c>
      <c r="C304" s="2">
        <v>9012</v>
      </c>
      <c r="D304" s="2">
        <v>9861</v>
      </c>
      <c r="E304" s="1">
        <f t="shared" si="7"/>
        <v>0.5224924495310761</v>
      </c>
    </row>
    <row r="305" spans="1:5" x14ac:dyDescent="0.3">
      <c r="A305">
        <v>2026</v>
      </c>
      <c r="B305" s="2">
        <f>_xlfn.FORECAST.LINEAR(A305,B298:B304,A298:A304)</f>
        <v>23321.857142857043</v>
      </c>
      <c r="C305" s="2">
        <f>_xlfn.FORECAST.LINEAR(A305,C298:C304,A298:A304)</f>
        <v>10435.285714285714</v>
      </c>
      <c r="D305" s="2">
        <f>B305-C305</f>
        <v>12886.571428571329</v>
      </c>
      <c r="E305" s="1">
        <f t="shared" si="7"/>
        <v>0.55255339871242604</v>
      </c>
    </row>
    <row r="306" spans="1:5" x14ac:dyDescent="0.3">
      <c r="A306">
        <v>2027</v>
      </c>
      <c r="B306" s="2">
        <f>_xlfn.FORECAST.LINEAR(A306,B298:B305,A298:A305)</f>
        <v>22601.821428571362</v>
      </c>
      <c r="C306" s="2">
        <f>_xlfn.FORECAST.LINEAR(A306,C298:C305,A298:A305)</f>
        <v>10429.035714285714</v>
      </c>
      <c r="D306" s="2">
        <f>B306-C306</f>
        <v>12172.785714285648</v>
      </c>
      <c r="E306" s="1">
        <f t="shared" si="7"/>
        <v>0.53857543086761206</v>
      </c>
    </row>
    <row r="307" spans="1:5" x14ac:dyDescent="0.3">
      <c r="A307" s="6" t="s">
        <v>31</v>
      </c>
      <c r="B307" s="7">
        <f>SUM(B308:B316)</f>
        <v>51160.428571428638</v>
      </c>
      <c r="C307" s="7">
        <f t="shared" ref="C307:D307" si="12">SUM(C308:C316)</f>
        <v>21798.428571428638</v>
      </c>
      <c r="D307" s="7">
        <f t="shared" si="12"/>
        <v>29362</v>
      </c>
      <c r="E307" s="1">
        <f t="shared" si="7"/>
        <v>0.57392013358538752</v>
      </c>
    </row>
    <row r="308" spans="1:5" x14ac:dyDescent="0.3">
      <c r="A308">
        <v>2019</v>
      </c>
      <c r="B308" s="2">
        <v>7948</v>
      </c>
      <c r="C308" s="2">
        <v>4358</v>
      </c>
      <c r="D308" s="2">
        <v>3590</v>
      </c>
      <c r="E308" s="1">
        <f t="shared" si="7"/>
        <v>0.45168595873175643</v>
      </c>
    </row>
    <row r="309" spans="1:5" x14ac:dyDescent="0.3">
      <c r="A309">
        <v>2020</v>
      </c>
      <c r="B309" s="2">
        <v>2222</v>
      </c>
      <c r="C309" s="2">
        <v>1731</v>
      </c>
      <c r="D309" s="2">
        <v>491</v>
      </c>
      <c r="E309" s="1">
        <f t="shared" si="7"/>
        <v>0.22097209720972097</v>
      </c>
    </row>
    <row r="310" spans="1:5" x14ac:dyDescent="0.3">
      <c r="A310">
        <v>2021</v>
      </c>
      <c r="B310" s="2">
        <v>9162</v>
      </c>
      <c r="C310" s="2">
        <v>3259</v>
      </c>
      <c r="D310" s="2">
        <v>5903</v>
      </c>
      <c r="E310" s="1">
        <f t="shared" si="7"/>
        <v>0.64429163938004808</v>
      </c>
    </row>
    <row r="311" spans="1:5" x14ac:dyDescent="0.3">
      <c r="A311">
        <v>2022</v>
      </c>
      <c r="B311" s="2">
        <v>9010</v>
      </c>
      <c r="C311" s="2">
        <v>1923</v>
      </c>
      <c r="D311" s="2">
        <v>7087</v>
      </c>
      <c r="E311" s="1">
        <f t="shared" si="7"/>
        <v>0.78657047724750273</v>
      </c>
    </row>
    <row r="312" spans="1:5" x14ac:dyDescent="0.3">
      <c r="A312">
        <v>2023</v>
      </c>
      <c r="B312" s="2">
        <v>4871</v>
      </c>
      <c r="C312" s="2">
        <v>2557</v>
      </c>
      <c r="D312" s="2">
        <v>2314</v>
      </c>
      <c r="E312" s="1">
        <f t="shared" si="7"/>
        <v>0.47505645657975776</v>
      </c>
    </row>
    <row r="313" spans="1:5" x14ac:dyDescent="0.3">
      <c r="A313">
        <v>2024</v>
      </c>
      <c r="B313" s="2">
        <v>4193</v>
      </c>
      <c r="C313" s="2">
        <v>2241</v>
      </c>
      <c r="D313" s="2">
        <v>1952</v>
      </c>
      <c r="E313" s="1">
        <f t="shared" si="7"/>
        <v>0.46553780109706655</v>
      </c>
    </row>
    <row r="314" spans="1:5" x14ac:dyDescent="0.3">
      <c r="A314">
        <v>2025</v>
      </c>
      <c r="B314" s="2">
        <v>4657</v>
      </c>
      <c r="C314" s="2">
        <v>2232</v>
      </c>
      <c r="D314" s="2">
        <v>2425</v>
      </c>
      <c r="E314" s="1">
        <f t="shared" si="7"/>
        <v>0.52072149452437189</v>
      </c>
    </row>
    <row r="315" spans="1:5" x14ac:dyDescent="0.3">
      <c r="A315">
        <v>2026</v>
      </c>
      <c r="B315" s="2">
        <f>_xlfn.FORECAST.LINEAR(A315,B308:B314,A308:A314)</f>
        <v>4548.714285714319</v>
      </c>
      <c r="C315" s="2">
        <f>_xlfn.FORECAST.LINEAR(A315,C308:C314,A308:A314)</f>
        <v>1748.714285714319</v>
      </c>
      <c r="D315" s="2">
        <f>B315-C315</f>
        <v>2800</v>
      </c>
      <c r="E315" s="1">
        <f>D315/B315</f>
        <v>0.61555855657799241</v>
      </c>
    </row>
    <row r="316" spans="1:5" x14ac:dyDescent="0.3">
      <c r="A316">
        <v>2026</v>
      </c>
      <c r="B316" s="2">
        <f>_xlfn.FORECAST.LINEAR(A316,B308:B315,A308:A315)</f>
        <v>4548.714285714319</v>
      </c>
      <c r="C316" s="2">
        <f>_xlfn.FORECAST.LINEAR(A316,C308:C315,A308:A315)</f>
        <v>1748.714285714319</v>
      </c>
      <c r="D316" s="2">
        <f>B316-C316</f>
        <v>2800</v>
      </c>
      <c r="E316" s="1">
        <f>D316/B316</f>
        <v>0.61555855657799241</v>
      </c>
    </row>
    <row r="317" spans="1:5" x14ac:dyDescent="0.3">
      <c r="A317" s="6" t="s">
        <v>32</v>
      </c>
      <c r="B317" s="7">
        <f>SUM(B318:B322)</f>
        <v>18796.419354838668</v>
      </c>
      <c r="C317" s="7">
        <f t="shared" ref="C317:D317" si="13">SUM(C318:C322)</f>
        <v>11215.17741935479</v>
      </c>
      <c r="D317" s="7">
        <f t="shared" si="13"/>
        <v>7581.2419354838785</v>
      </c>
      <c r="E317" s="1">
        <f t="shared" si="7"/>
        <v>0.40333436876275464</v>
      </c>
    </row>
    <row r="318" spans="1:5" x14ac:dyDescent="0.3">
      <c r="A318">
        <v>2019</v>
      </c>
      <c r="B318" s="2">
        <v>1481</v>
      </c>
      <c r="C318" s="2">
        <v>813</v>
      </c>
      <c r="D318" s="2">
        <v>668</v>
      </c>
      <c r="E318" s="1">
        <f t="shared" si="7"/>
        <v>0.4510465901417961</v>
      </c>
    </row>
    <row r="319" spans="1:5" x14ac:dyDescent="0.3">
      <c r="A319">
        <v>2024</v>
      </c>
      <c r="B319" s="2">
        <v>3143</v>
      </c>
      <c r="C319" s="2">
        <v>1894</v>
      </c>
      <c r="D319" s="2">
        <v>1249</v>
      </c>
      <c r="E319" s="1">
        <f t="shared" si="7"/>
        <v>0.39739102768055995</v>
      </c>
    </row>
    <row r="320" spans="1:5" x14ac:dyDescent="0.3">
      <c r="A320">
        <v>2025</v>
      </c>
      <c r="B320" s="2">
        <v>4561</v>
      </c>
      <c r="C320" s="2">
        <v>2714</v>
      </c>
      <c r="D320" s="2">
        <v>1847</v>
      </c>
      <c r="E320" s="1">
        <f t="shared" si="7"/>
        <v>0.40495505371629031</v>
      </c>
    </row>
    <row r="321" spans="1:12" x14ac:dyDescent="0.3">
      <c r="A321">
        <v>2026</v>
      </c>
      <c r="B321" s="2">
        <f>_xlfn.FORECAST.LINEAR(A321,B318:B320,A318:A320)</f>
        <v>4578.2258064516354</v>
      </c>
      <c r="C321" s="2">
        <f>_xlfn.FORECAST.LINEAR(A321,C318:C320,A318:A320)</f>
        <v>2754.9032258064253</v>
      </c>
      <c r="D321" s="2">
        <f>B321-C321</f>
        <v>1823.3225806452101</v>
      </c>
      <c r="E321" s="1">
        <f>D321/B321</f>
        <v>0.39825964417827187</v>
      </c>
    </row>
    <row r="322" spans="1:12" x14ac:dyDescent="0.3">
      <c r="A322">
        <v>2027</v>
      </c>
      <c r="B322" s="2">
        <f>_xlfn.FORECAST.LINEAR(A322,B318:B321,A318:A321)</f>
        <v>5033.1935483870329</v>
      </c>
      <c r="C322" s="2">
        <f>_xlfn.FORECAST.LINEAR(A322,C318:C321,A318:A321)</f>
        <v>3039.2741935483646</v>
      </c>
      <c r="D322" s="2">
        <f>B322-C322</f>
        <v>1993.9193548386684</v>
      </c>
      <c r="E322" s="1">
        <f>D322/B322</f>
        <v>0.39615392010459277</v>
      </c>
    </row>
    <row r="323" spans="1:12" x14ac:dyDescent="0.3">
      <c r="A323" s="6" t="s">
        <v>33</v>
      </c>
      <c r="B323" s="7">
        <f>SUM(B324:B332)</f>
        <v>22398.750000000466</v>
      </c>
      <c r="C323" s="7">
        <f t="shared" ref="C323:D323" si="14">SUM(C324:C332)</f>
        <v>9724.8214285711292</v>
      </c>
      <c r="D323" s="7">
        <f t="shared" si="14"/>
        <v>12673.928571429336</v>
      </c>
      <c r="E323" s="1">
        <f t="shared" si="7"/>
        <v>0.5658319580971739</v>
      </c>
      <c r="G323" s="71" t="s">
        <v>186</v>
      </c>
      <c r="H323" s="71"/>
      <c r="I323" s="71"/>
      <c r="J323" s="71"/>
      <c r="K323" s="71"/>
      <c r="L323" s="71"/>
    </row>
    <row r="324" spans="1:12" ht="14.4" customHeight="1" x14ac:dyDescent="0.3">
      <c r="A324">
        <v>2019</v>
      </c>
      <c r="B324" s="2">
        <v>5154</v>
      </c>
      <c r="C324" s="2">
        <v>2995</v>
      </c>
      <c r="D324" s="2">
        <v>2159</v>
      </c>
      <c r="E324" s="1">
        <f t="shared" si="7"/>
        <v>0.41889794334497477</v>
      </c>
      <c r="G324" s="68"/>
      <c r="H324" s="68"/>
      <c r="I324" s="68"/>
      <c r="J324" s="68"/>
    </row>
    <row r="325" spans="1:12" x14ac:dyDescent="0.3">
      <c r="A325">
        <v>2020</v>
      </c>
      <c r="B325" s="2">
        <v>7974</v>
      </c>
      <c r="C325" s="2">
        <v>4178</v>
      </c>
      <c r="D325" s="2">
        <v>3796</v>
      </c>
      <c r="E325" s="1">
        <f t="shared" si="7"/>
        <v>0.47604715324805619</v>
      </c>
      <c r="G325" s="68"/>
      <c r="H325" s="68"/>
      <c r="I325" s="68"/>
      <c r="J325" s="68"/>
    </row>
    <row r="326" spans="1:12" x14ac:dyDescent="0.3">
      <c r="A326">
        <v>2021</v>
      </c>
      <c r="B326" s="2">
        <v>3971</v>
      </c>
      <c r="C326" s="2">
        <v>1845</v>
      </c>
      <c r="D326" s="2">
        <v>2126</v>
      </c>
      <c r="E326" s="1">
        <f t="shared" si="7"/>
        <v>0.53538151599093431</v>
      </c>
      <c r="G326" s="63"/>
      <c r="H326" s="63"/>
      <c r="I326" s="63"/>
      <c r="J326" s="63"/>
    </row>
    <row r="327" spans="1:12" x14ac:dyDescent="0.3">
      <c r="A327">
        <v>2022</v>
      </c>
      <c r="B327" s="2">
        <v>3850</v>
      </c>
      <c r="C327" s="2">
        <v>1227</v>
      </c>
      <c r="D327" s="2">
        <v>2623</v>
      </c>
      <c r="E327" s="1">
        <f t="shared" si="7"/>
        <v>0.68129870129870129</v>
      </c>
      <c r="G327" s="63"/>
      <c r="H327" s="63"/>
      <c r="I327" s="63"/>
      <c r="J327" s="63"/>
    </row>
    <row r="328" spans="1:12" x14ac:dyDescent="0.3">
      <c r="A328">
        <v>2023</v>
      </c>
      <c r="B328" s="2">
        <v>4254</v>
      </c>
      <c r="C328" s="2">
        <v>1628</v>
      </c>
      <c r="D328" s="2">
        <v>2626</v>
      </c>
      <c r="E328" s="1">
        <f t="shared" si="7"/>
        <v>0.61730136342266106</v>
      </c>
    </row>
    <row r="329" spans="1:12" x14ac:dyDescent="0.3">
      <c r="A329">
        <v>2024</v>
      </c>
      <c r="B329" s="2">
        <v>0</v>
      </c>
      <c r="C329" s="2">
        <v>43</v>
      </c>
      <c r="D329" s="2">
        <v>-43</v>
      </c>
      <c r="E329" s="1" t="e">
        <f t="shared" si="7"/>
        <v>#DIV/0!</v>
      </c>
    </row>
    <row r="330" spans="1:12" x14ac:dyDescent="0.3">
      <c r="A330">
        <v>2025</v>
      </c>
      <c r="B330" s="2">
        <v>0</v>
      </c>
      <c r="C330" s="2">
        <v>9</v>
      </c>
      <c r="D330" s="2">
        <v>-9</v>
      </c>
      <c r="E330" s="1" t="e">
        <f t="shared" ref="E330:E411" si="15">D330/B330</f>
        <v>#DIV/0!</v>
      </c>
      <c r="G330" t="s">
        <v>133</v>
      </c>
      <c r="H330" t="s">
        <v>128</v>
      </c>
      <c r="I330" t="s">
        <v>134</v>
      </c>
      <c r="J330" t="s">
        <v>89</v>
      </c>
    </row>
    <row r="331" spans="1:12" x14ac:dyDescent="0.3">
      <c r="A331">
        <v>2026</v>
      </c>
      <c r="B331" s="2">
        <f>_xlfn.FORECAST.LINEAR(A331,B324:B330,A324:A330)</f>
        <v>-846.28571428544819</v>
      </c>
      <c r="C331" s="2">
        <f>_xlfn.FORECAST.LINEAR(A331,C324:C330,A324:A330)</f>
        <v>-788.57142857159488</v>
      </c>
      <c r="D331" s="2">
        <f>B331-C331</f>
        <v>-57.714285713853315</v>
      </c>
      <c r="E331" s="1">
        <f t="shared" si="15"/>
        <v>6.8197164077835964E-2</v>
      </c>
      <c r="F331">
        <v>2026</v>
      </c>
      <c r="G331" s="20">
        <f>B328*(0.76)</f>
        <v>3233.04</v>
      </c>
      <c r="H331" s="20">
        <f>C328*(0.76)</f>
        <v>1237.28</v>
      </c>
      <c r="I331" s="20">
        <f>G331-H331</f>
        <v>1995.76</v>
      </c>
      <c r="J331" s="1">
        <f>I331/G331</f>
        <v>0.61730136342266106</v>
      </c>
    </row>
    <row r="332" spans="1:12" x14ac:dyDescent="0.3">
      <c r="A332">
        <v>2027</v>
      </c>
      <c r="B332" s="2">
        <f>_xlfn.FORECAST.LINEAR(A332,B324:B331,A324:A331)</f>
        <v>-1957.9642857140861</v>
      </c>
      <c r="C332" s="2">
        <f>_xlfn.FORECAST.LINEAR(A332,C324:C331,A324:A331)</f>
        <v>-1411.6071428572759</v>
      </c>
      <c r="D332" s="2">
        <f>B332-C332</f>
        <v>-546.35714285681024</v>
      </c>
      <c r="E332" s="1">
        <f t="shared" si="15"/>
        <v>0.2790434671578032</v>
      </c>
      <c r="F332">
        <v>2027</v>
      </c>
      <c r="G332" s="20">
        <f>G331*(0.58)</f>
        <v>1875.1632</v>
      </c>
      <c r="H332" s="20">
        <f>H331*(0.58)</f>
        <v>717.62239999999997</v>
      </c>
      <c r="I332" s="20">
        <f>G332-H332</f>
        <v>1157.5408</v>
      </c>
      <c r="J332" s="1">
        <f>I332/G332</f>
        <v>0.61730136342266106</v>
      </c>
    </row>
    <row r="333" spans="1:12" x14ac:dyDescent="0.3">
      <c r="A333" s="6" t="s">
        <v>34</v>
      </c>
      <c r="B333" s="7">
        <f>SUM(B334:B341)</f>
        <v>82655.428571429104</v>
      </c>
      <c r="C333" s="7">
        <f t="shared" ref="C333:D333" si="16">SUM(C334:C341)</f>
        <v>33191.071428571362</v>
      </c>
      <c r="D333" s="7">
        <f t="shared" si="16"/>
        <v>49464.357142857742</v>
      </c>
      <c r="E333" s="1">
        <f t="shared" si="15"/>
        <v>0.59844051380257102</v>
      </c>
    </row>
    <row r="334" spans="1:12" x14ac:dyDescent="0.3">
      <c r="A334">
        <v>2019</v>
      </c>
      <c r="B334" s="2">
        <v>2337</v>
      </c>
      <c r="C334" s="2">
        <v>1057</v>
      </c>
      <c r="D334" s="2">
        <v>1280</v>
      </c>
      <c r="E334" s="1">
        <f t="shared" si="15"/>
        <v>0.54771074026529742</v>
      </c>
    </row>
    <row r="335" spans="1:12" x14ac:dyDescent="0.3">
      <c r="A335">
        <v>2021</v>
      </c>
      <c r="B335" s="2">
        <v>8617</v>
      </c>
      <c r="C335" s="2">
        <v>3041</v>
      </c>
      <c r="D335" s="2">
        <v>5576</v>
      </c>
      <c r="E335" s="1">
        <f t="shared" si="15"/>
        <v>0.64709295578507597</v>
      </c>
    </row>
    <row r="336" spans="1:12" x14ac:dyDescent="0.3">
      <c r="A336">
        <v>2022</v>
      </c>
      <c r="B336" s="2">
        <v>10831</v>
      </c>
      <c r="C336" s="2">
        <v>5048</v>
      </c>
      <c r="D336" s="2">
        <v>5783</v>
      </c>
      <c r="E336" s="1">
        <f t="shared" si="15"/>
        <v>0.53393038500600132</v>
      </c>
    </row>
    <row r="337" spans="1:10" x14ac:dyDescent="0.3">
      <c r="A337">
        <v>2023</v>
      </c>
      <c r="B337" s="2">
        <v>13829</v>
      </c>
      <c r="C337" s="2">
        <v>4413</v>
      </c>
      <c r="D337" s="2">
        <v>9416</v>
      </c>
      <c r="E337" s="1">
        <f t="shared" si="15"/>
        <v>0.68088798900860514</v>
      </c>
    </row>
    <row r="338" spans="1:10" x14ac:dyDescent="0.3">
      <c r="A338">
        <v>2024</v>
      </c>
      <c r="B338" s="2">
        <v>9959</v>
      </c>
      <c r="C338" s="2">
        <v>3565</v>
      </c>
      <c r="D338" s="2">
        <v>6394</v>
      </c>
      <c r="E338" s="1">
        <f t="shared" si="15"/>
        <v>0.64203233256351044</v>
      </c>
    </row>
    <row r="339" spans="1:10" x14ac:dyDescent="0.3">
      <c r="A339">
        <v>2025</v>
      </c>
      <c r="B339" s="2">
        <v>9120</v>
      </c>
      <c r="C339" s="2">
        <v>4591</v>
      </c>
      <c r="D339" s="2">
        <v>4529</v>
      </c>
      <c r="E339" s="1">
        <f t="shared" si="15"/>
        <v>0.49660087719298246</v>
      </c>
    </row>
    <row r="340" spans="1:10" x14ac:dyDescent="0.3">
      <c r="A340">
        <v>2026</v>
      </c>
      <c r="B340" s="2">
        <f>_xlfn.FORECAST.LINEAR(A340,B334:B339,A334:A339)</f>
        <v>13397.32857142901</v>
      </c>
      <c r="C340" s="2">
        <f>_xlfn.FORECAST.LINEAR(A340,C334:C339,A334:A339)</f>
        <v>5483.7714285714319</v>
      </c>
      <c r="D340" s="2">
        <f>B340-C340</f>
        <v>7913.5571428575786</v>
      </c>
      <c r="E340" s="1">
        <f>D340/B340</f>
        <v>0.5906817243949618</v>
      </c>
    </row>
    <row r="341" spans="1:10" x14ac:dyDescent="0.3">
      <c r="A341">
        <v>2027</v>
      </c>
      <c r="B341" s="2">
        <f>_xlfn.FORECAST.LINEAR(A341,B334:B340,A334:A340)</f>
        <v>14565.100000000093</v>
      </c>
      <c r="C341" s="2">
        <f>_xlfn.FORECAST.LINEAR(A341,C334:C340,A334:A340)</f>
        <v>5992.2999999999302</v>
      </c>
      <c r="D341" s="2">
        <f>B341-C341</f>
        <v>8572.800000000163</v>
      </c>
      <c r="E341" s="1">
        <f>D341/B341</f>
        <v>0.5885850423272142</v>
      </c>
    </row>
    <row r="342" spans="1:10" x14ac:dyDescent="0.3">
      <c r="A342" s="6" t="s">
        <v>35</v>
      </c>
      <c r="B342" s="7">
        <f>SUM(B343:B351)</f>
        <v>1396916.9999999925</v>
      </c>
      <c r="C342" s="7">
        <f t="shared" ref="C342:D342" si="17">SUM(C343:C351)</f>
        <v>528736.82142857276</v>
      </c>
      <c r="D342" s="7">
        <f t="shared" si="17"/>
        <v>868180.17857141979</v>
      </c>
      <c r="E342" s="1">
        <f t="shared" si="15"/>
        <v>0.62149732487429421</v>
      </c>
      <c r="G342" s="65"/>
      <c r="H342" s="65"/>
      <c r="I342" s="65"/>
    </row>
    <row r="343" spans="1:10" x14ac:dyDescent="0.3">
      <c r="A343">
        <v>2019</v>
      </c>
      <c r="B343" s="2">
        <v>236963</v>
      </c>
      <c r="C343" s="2">
        <v>72061</v>
      </c>
      <c r="D343" s="2">
        <v>164902</v>
      </c>
      <c r="E343" s="1">
        <f t="shared" si="15"/>
        <v>0.69589767178842266</v>
      </c>
      <c r="G343" s="65" t="s">
        <v>186</v>
      </c>
      <c r="H343" s="65"/>
      <c r="I343" s="65"/>
      <c r="J343" s="65"/>
    </row>
    <row r="344" spans="1:10" x14ac:dyDescent="0.3">
      <c r="A344">
        <v>2020</v>
      </c>
      <c r="B344" s="2">
        <v>263174</v>
      </c>
      <c r="C344" s="2">
        <v>75084</v>
      </c>
      <c r="D344" s="2">
        <v>188090</v>
      </c>
      <c r="E344" s="1">
        <f t="shared" si="15"/>
        <v>0.71469826046645946</v>
      </c>
      <c r="G344" s="65"/>
      <c r="H344" s="65"/>
      <c r="I344" s="65"/>
      <c r="J344" s="65"/>
    </row>
    <row r="345" spans="1:10" x14ac:dyDescent="0.3">
      <c r="A345">
        <v>2021</v>
      </c>
      <c r="B345" s="2">
        <v>240734</v>
      </c>
      <c r="C345" s="2">
        <v>64319</v>
      </c>
      <c r="D345" s="2">
        <v>176415</v>
      </c>
      <c r="E345" s="1">
        <f t="shared" si="15"/>
        <v>0.73282128822683956</v>
      </c>
    </row>
    <row r="346" spans="1:10" x14ac:dyDescent="0.3">
      <c r="A346">
        <v>2022</v>
      </c>
      <c r="B346" s="2">
        <v>210980</v>
      </c>
      <c r="C346" s="2">
        <v>81455</v>
      </c>
      <c r="D346" s="2">
        <v>129525</v>
      </c>
      <c r="E346" s="1">
        <f t="shared" si="15"/>
        <v>0.61392075078206465</v>
      </c>
    </row>
    <row r="347" spans="1:10" x14ac:dyDescent="0.3">
      <c r="A347">
        <v>2023</v>
      </c>
      <c r="B347" s="2">
        <v>147777</v>
      </c>
      <c r="C347" s="2">
        <v>68950</v>
      </c>
      <c r="D347" s="2">
        <v>78827</v>
      </c>
      <c r="E347" s="1">
        <f t="shared" si="15"/>
        <v>0.53341859693998395</v>
      </c>
    </row>
    <row r="348" spans="1:10" x14ac:dyDescent="0.3">
      <c r="A348">
        <v>2024</v>
      </c>
      <c r="B348" s="2">
        <v>108487</v>
      </c>
      <c r="C348" s="2">
        <v>46948</v>
      </c>
      <c r="D348" s="2">
        <v>61539</v>
      </c>
      <c r="E348" s="1">
        <f t="shared" si="15"/>
        <v>0.56724768866315778</v>
      </c>
    </row>
    <row r="349" spans="1:10" x14ac:dyDescent="0.3">
      <c r="A349">
        <v>2025</v>
      </c>
      <c r="B349" s="2">
        <v>89532</v>
      </c>
      <c r="C349" s="2">
        <v>39645</v>
      </c>
      <c r="D349" s="2">
        <v>49887</v>
      </c>
      <c r="E349" s="1">
        <f t="shared" si="15"/>
        <v>0.55719742661841576</v>
      </c>
      <c r="G349" t="s">
        <v>133</v>
      </c>
      <c r="H349" t="s">
        <v>128</v>
      </c>
      <c r="I349" t="s">
        <v>134</v>
      </c>
      <c r="J349" t="s">
        <v>89</v>
      </c>
    </row>
    <row r="350" spans="1:10" x14ac:dyDescent="0.3">
      <c r="A350">
        <v>2026</v>
      </c>
      <c r="B350" s="2">
        <f>_xlfn.FORECAST.LINEAR(A350,B343:B349,A343:A349)</f>
        <v>64717.571428567171</v>
      </c>
      <c r="C350" s="2">
        <f>_xlfn.FORECAST.LINEAR(A350,C343:C349,A343:A349)</f>
        <v>42796.142857143655</v>
      </c>
      <c r="D350" s="2">
        <f>B350-C350</f>
        <v>21921.428571423516</v>
      </c>
      <c r="E350" s="1">
        <f t="shared" si="15"/>
        <v>0.33872452392036323</v>
      </c>
      <c r="F350">
        <v>2026</v>
      </c>
      <c r="G350" s="20">
        <f>B349*(0.79)</f>
        <v>70730.28</v>
      </c>
      <c r="H350" s="20">
        <f>C349*(0.79)</f>
        <v>31319.550000000003</v>
      </c>
      <c r="I350" s="20">
        <f>G350-H350</f>
        <v>39410.729999999996</v>
      </c>
      <c r="J350" s="1">
        <f>I350/G350</f>
        <v>0.55719742661841576</v>
      </c>
    </row>
    <row r="351" spans="1:10" x14ac:dyDescent="0.3">
      <c r="A351">
        <v>2027</v>
      </c>
      <c r="B351" s="2">
        <f>_xlfn.FORECAST.LINEAR(A351,B343:B350,A343:A350)</f>
        <v>34552.428571425378</v>
      </c>
      <c r="C351" s="2">
        <f>_xlfn.FORECAST.LINEAR(A351,C343:C350,A343:A350)</f>
        <v>37478.678571429104</v>
      </c>
      <c r="D351" s="2">
        <f>B351-C351</f>
        <v>-2926.2500000037253</v>
      </c>
      <c r="E351" s="1">
        <f t="shared" si="15"/>
        <v>-8.4690139622304692E-2</v>
      </c>
      <c r="F351">
        <v>2027</v>
      </c>
      <c r="G351" s="20">
        <f>G350*(0.59)</f>
        <v>41730.8652</v>
      </c>
      <c r="H351" s="20">
        <f>H350*(0.59)</f>
        <v>18478.534500000002</v>
      </c>
      <c r="I351" s="20">
        <f>G351-H351</f>
        <v>23252.330699999999</v>
      </c>
      <c r="J351" s="1">
        <f>I351/G351</f>
        <v>0.55719742661841576</v>
      </c>
    </row>
    <row r="352" spans="1:10" x14ac:dyDescent="0.3">
      <c r="A352" s="6" t="s">
        <v>36</v>
      </c>
      <c r="B352" s="7">
        <f>SUM(B353:B361)</f>
        <v>344732.78571428731</v>
      </c>
      <c r="C352" s="7">
        <f t="shared" ref="C352:D352" si="18">SUM(C353:C361)</f>
        <v>198869.78571428359</v>
      </c>
      <c r="D352" s="7">
        <f t="shared" si="18"/>
        <v>145863.00000000373</v>
      </c>
      <c r="E352" s="1">
        <f t="shared" si="15"/>
        <v>0.42311902448667649</v>
      </c>
    </row>
    <row r="353" spans="1:10" x14ac:dyDescent="0.3">
      <c r="A353">
        <v>2019</v>
      </c>
      <c r="B353" s="2">
        <v>75908</v>
      </c>
      <c r="C353" s="2">
        <v>37225</v>
      </c>
      <c r="D353" s="2">
        <v>38683</v>
      </c>
      <c r="E353" s="1">
        <f t="shared" si="15"/>
        <v>0.5096037308320599</v>
      </c>
    </row>
    <row r="354" spans="1:10" x14ac:dyDescent="0.3">
      <c r="A354">
        <v>2020</v>
      </c>
      <c r="B354" s="2">
        <v>75708</v>
      </c>
      <c r="C354" s="2">
        <v>37157</v>
      </c>
      <c r="D354" s="2">
        <v>38551</v>
      </c>
      <c r="E354" s="1">
        <f t="shared" si="15"/>
        <v>0.50920642468431343</v>
      </c>
      <c r="G354" s="65" t="s">
        <v>186</v>
      </c>
      <c r="H354" s="65"/>
      <c r="I354" s="65"/>
      <c r="J354" s="65"/>
    </row>
    <row r="355" spans="1:10" x14ac:dyDescent="0.3">
      <c r="A355">
        <v>2021</v>
      </c>
      <c r="B355" s="2">
        <v>70838</v>
      </c>
      <c r="C355" s="2">
        <v>41377</v>
      </c>
      <c r="D355" s="2">
        <v>29461</v>
      </c>
      <c r="E355" s="1">
        <f t="shared" si="15"/>
        <v>0.41589260001694006</v>
      </c>
      <c r="G355" s="65"/>
      <c r="H355" s="65"/>
      <c r="I355" s="65"/>
      <c r="J355" s="65"/>
    </row>
    <row r="356" spans="1:10" x14ac:dyDescent="0.3">
      <c r="A356">
        <v>2022</v>
      </c>
      <c r="B356" s="2">
        <v>48525</v>
      </c>
      <c r="C356" s="2">
        <v>30649</v>
      </c>
      <c r="D356" s="2">
        <v>17876</v>
      </c>
      <c r="E356" s="1">
        <f t="shared" si="15"/>
        <v>0.36838742916022671</v>
      </c>
    </row>
    <row r="357" spans="1:10" x14ac:dyDescent="0.3">
      <c r="A357">
        <v>2023</v>
      </c>
      <c r="B357" s="2">
        <v>26141</v>
      </c>
      <c r="C357" s="2">
        <v>16537</v>
      </c>
      <c r="D357" s="2">
        <v>9604</v>
      </c>
      <c r="E357" s="1">
        <f t="shared" si="15"/>
        <v>0.36739221911939102</v>
      </c>
    </row>
    <row r="358" spans="1:10" x14ac:dyDescent="0.3">
      <c r="A358">
        <v>2024</v>
      </c>
      <c r="B358" s="2">
        <v>22996</v>
      </c>
      <c r="C358" s="2">
        <v>12862</v>
      </c>
      <c r="D358" s="2">
        <v>10134</v>
      </c>
      <c r="E358" s="1">
        <f t="shared" si="15"/>
        <v>0.44068533658027481</v>
      </c>
    </row>
    <row r="359" spans="1:10" x14ac:dyDescent="0.3">
      <c r="A359">
        <v>2025</v>
      </c>
      <c r="B359" s="2">
        <v>24269</v>
      </c>
      <c r="C359" s="2">
        <v>14369</v>
      </c>
      <c r="D359" s="2">
        <v>9900</v>
      </c>
      <c r="E359" s="1">
        <f t="shared" si="15"/>
        <v>0.4079278091392311</v>
      </c>
      <c r="G359" t="s">
        <v>133</v>
      </c>
      <c r="H359" t="s">
        <v>128</v>
      </c>
      <c r="I359" t="s">
        <v>134</v>
      </c>
      <c r="J359" t="s">
        <v>89</v>
      </c>
    </row>
    <row r="360" spans="1:10" x14ac:dyDescent="0.3">
      <c r="A360">
        <v>2026</v>
      </c>
      <c r="B360" s="2">
        <f>_xlfn.FORECAST.LINEAR(A360,B353:B359,A353:A359)</f>
        <v>5621</v>
      </c>
      <c r="C360" s="2">
        <f>_xlfn.FORECAST.LINEAR(A360,C353:C359,A353:A359)</f>
        <v>6882.5714285708964</v>
      </c>
      <c r="D360" s="2">
        <f>B360-C360</f>
        <v>-1261.5714285708964</v>
      </c>
      <c r="E360" s="1">
        <f t="shared" si="15"/>
        <v>-0.224438966121846</v>
      </c>
      <c r="F360">
        <v>2026</v>
      </c>
      <c r="G360" s="20">
        <f>B359*(0.79)</f>
        <v>19172.510000000002</v>
      </c>
      <c r="H360" s="20">
        <f>C359*(0.79)</f>
        <v>11351.51</v>
      </c>
      <c r="I360" s="20">
        <f>G360-H360</f>
        <v>7821.0000000000018</v>
      </c>
      <c r="J360" s="1">
        <f>I360/G360</f>
        <v>0.40792780913923116</v>
      </c>
    </row>
    <row r="361" spans="1:10" x14ac:dyDescent="0.3">
      <c r="A361">
        <v>2027</v>
      </c>
      <c r="B361" s="2">
        <f>_xlfn.FORECAST.LINEAR(A361,B353:B360,A353:A360)</f>
        <v>-5273.2142857126892</v>
      </c>
      <c r="C361" s="2">
        <f>_xlfn.FORECAST.LINEAR(A361,C353:C360,A353:A360)</f>
        <v>1811.2142857126892</v>
      </c>
      <c r="D361" s="2">
        <f>B361-C361</f>
        <v>-7084.4285714253783</v>
      </c>
      <c r="E361" s="1">
        <f t="shared" si="15"/>
        <v>1.3434744327800248</v>
      </c>
      <c r="F361">
        <v>2027</v>
      </c>
      <c r="G361" s="20">
        <f>G360*(0.59)</f>
        <v>11311.7809</v>
      </c>
      <c r="H361" s="20">
        <f>H360*(0.59)</f>
        <v>6697.3908999999994</v>
      </c>
      <c r="I361" s="20">
        <f>G361-H361</f>
        <v>4614.3900000000003</v>
      </c>
      <c r="J361" s="1">
        <f>I361/G361</f>
        <v>0.40792780913923116</v>
      </c>
    </row>
    <row r="362" spans="1:10" x14ac:dyDescent="0.3">
      <c r="A362" s="6" t="s">
        <v>37</v>
      </c>
      <c r="B362" s="7">
        <f>SUM(B363:B371)</f>
        <v>79051.821428571362</v>
      </c>
      <c r="C362" s="7">
        <f t="shared" ref="C362:D362" si="19">SUM(C363:C371)</f>
        <v>24015.21428571429</v>
      </c>
      <c r="D362" s="7">
        <f t="shared" si="19"/>
        <v>55036.607142857072</v>
      </c>
      <c r="E362" s="1">
        <f t="shared" si="15"/>
        <v>0.69620922261211082</v>
      </c>
    </row>
    <row r="363" spans="1:10" x14ac:dyDescent="0.3">
      <c r="A363">
        <v>2019</v>
      </c>
      <c r="B363" s="2">
        <v>6494</v>
      </c>
      <c r="C363" s="2">
        <v>3603</v>
      </c>
      <c r="D363" s="2">
        <v>2891</v>
      </c>
      <c r="E363" s="1">
        <f t="shared" si="15"/>
        <v>0.44518016630736063</v>
      </c>
    </row>
    <row r="364" spans="1:10" x14ac:dyDescent="0.3">
      <c r="A364">
        <v>2020</v>
      </c>
      <c r="B364" s="2">
        <v>4196</v>
      </c>
      <c r="C364" s="2">
        <v>2422</v>
      </c>
      <c r="D364" s="2">
        <v>1774</v>
      </c>
      <c r="E364" s="1">
        <f t="shared" si="15"/>
        <v>0.42278360343183985</v>
      </c>
    </row>
    <row r="365" spans="1:10" x14ac:dyDescent="0.3">
      <c r="A365">
        <v>2021</v>
      </c>
      <c r="B365" s="2">
        <v>4566</v>
      </c>
      <c r="C365" s="2">
        <v>2328</v>
      </c>
      <c r="D365" s="2">
        <v>2238</v>
      </c>
      <c r="E365" s="1">
        <f t="shared" si="15"/>
        <v>0.49014454664914586</v>
      </c>
    </row>
    <row r="366" spans="1:10" x14ac:dyDescent="0.3">
      <c r="A366">
        <v>2022</v>
      </c>
      <c r="B366" s="2">
        <v>0</v>
      </c>
      <c r="C366" s="2">
        <v>147</v>
      </c>
      <c r="D366" s="2">
        <v>-147</v>
      </c>
      <c r="E366" s="1" t="e">
        <f t="shared" si="15"/>
        <v>#DIV/0!</v>
      </c>
    </row>
    <row r="367" spans="1:10" x14ac:dyDescent="0.3">
      <c r="A367">
        <v>2023</v>
      </c>
      <c r="B367" s="2">
        <v>8062</v>
      </c>
      <c r="C367" s="2">
        <v>2553</v>
      </c>
      <c r="D367" s="2">
        <v>5509</v>
      </c>
      <c r="E367" s="1">
        <f t="shared" si="15"/>
        <v>0.68332919870999753</v>
      </c>
    </row>
    <row r="368" spans="1:10" x14ac:dyDescent="0.3">
      <c r="A368">
        <v>2024</v>
      </c>
      <c r="B368" s="2">
        <v>20145</v>
      </c>
      <c r="C368" s="2">
        <v>4176</v>
      </c>
      <c r="D368" s="2">
        <v>15969</v>
      </c>
      <c r="E368" s="1">
        <f t="shared" si="15"/>
        <v>0.79270290394638865</v>
      </c>
    </row>
    <row r="369" spans="1:10" x14ac:dyDescent="0.3">
      <c r="A369">
        <v>2025</v>
      </c>
      <c r="B369" s="2">
        <v>8025</v>
      </c>
      <c r="C369" s="2">
        <v>2982</v>
      </c>
      <c r="D369" s="2">
        <v>5043</v>
      </c>
      <c r="E369" s="1">
        <f t="shared" si="15"/>
        <v>0.62841121495327101</v>
      </c>
    </row>
    <row r="370" spans="1:10" x14ac:dyDescent="0.3">
      <c r="A370">
        <v>2026</v>
      </c>
      <c r="B370" s="2">
        <f>_xlfn.FORECAST.LINEAR(A370,B363:B369,A363:A369)</f>
        <v>13067.857142857276</v>
      </c>
      <c r="C370" s="2">
        <f>_xlfn.FORECAST.LINEAR(A370,C363:C369,A363:A369)</f>
        <v>2868.7142857142899</v>
      </c>
      <c r="D370" s="2">
        <f>B370-C370</f>
        <v>10199.142857142986</v>
      </c>
      <c r="E370" s="1">
        <f t="shared" si="15"/>
        <v>0.78047553976496498</v>
      </c>
    </row>
    <row r="371" spans="1:10" x14ac:dyDescent="0.3">
      <c r="A371">
        <v>2027</v>
      </c>
      <c r="B371" s="2">
        <f>_xlfn.FORECAST.LINEAR(A371,B363:B370,A363:A370)</f>
        <v>14495.964285714086</v>
      </c>
      <c r="C371" s="2">
        <f>_xlfn.FORECAST.LINEAR(A371,C363:C370,A363:A370)</f>
        <v>2935.5</v>
      </c>
      <c r="D371" s="2">
        <f>B371-C371</f>
        <v>11560.464285714086</v>
      </c>
      <c r="E371" s="1">
        <f t="shared" si="15"/>
        <v>0.79749536200962057</v>
      </c>
    </row>
    <row r="372" spans="1:10" x14ac:dyDescent="0.3">
      <c r="A372" s="6" t="s">
        <v>38</v>
      </c>
      <c r="B372" s="7">
        <v>3277</v>
      </c>
      <c r="C372" s="7">
        <v>1128</v>
      </c>
      <c r="D372" s="7">
        <v>2149</v>
      </c>
      <c r="E372" s="1">
        <f t="shared" si="15"/>
        <v>0.65578272810497407</v>
      </c>
      <c r="G372" s="72" t="s">
        <v>186</v>
      </c>
      <c r="H372" s="72"/>
      <c r="I372" s="72"/>
    </row>
    <row r="373" spans="1:10" x14ac:dyDescent="0.3">
      <c r="A373">
        <v>2019</v>
      </c>
      <c r="B373" s="2">
        <v>3277</v>
      </c>
      <c r="C373" s="2">
        <v>1128</v>
      </c>
      <c r="D373" s="2">
        <v>2149</v>
      </c>
      <c r="E373" s="1">
        <f t="shared" si="15"/>
        <v>0.65578272810497407</v>
      </c>
      <c r="G373" s="72"/>
      <c r="H373" s="72"/>
      <c r="I373" s="72"/>
    </row>
    <row r="374" spans="1:10" x14ac:dyDescent="0.3">
      <c r="A374">
        <v>2026</v>
      </c>
      <c r="B374" s="2">
        <f>B373*(0.48)</f>
        <v>1572.96</v>
      </c>
      <c r="C374" s="2">
        <f>C373*(0.48)</f>
        <v>541.43999999999994</v>
      </c>
      <c r="D374" s="2">
        <f>B374-C374</f>
        <v>1031.52</v>
      </c>
      <c r="E374" s="1">
        <f>D374/B374</f>
        <v>0.65578272810497407</v>
      </c>
    </row>
    <row r="375" spans="1:10" x14ac:dyDescent="0.3">
      <c r="A375">
        <v>2027</v>
      </c>
      <c r="B375" s="2">
        <f>B374*(0.3)</f>
        <v>471.88799999999998</v>
      </c>
      <c r="C375" s="2">
        <f>C374*(0.3)</f>
        <v>162.43199999999999</v>
      </c>
      <c r="D375" s="2">
        <f>B375-C375</f>
        <v>309.45600000000002</v>
      </c>
      <c r="E375" s="1">
        <f>D375/B375</f>
        <v>0.65578272810497418</v>
      </c>
    </row>
    <row r="376" spans="1:10" x14ac:dyDescent="0.3">
      <c r="A376" s="6" t="s">
        <v>39</v>
      </c>
      <c r="B376" s="7">
        <f>SUM(B377:B385)</f>
        <v>732897.64285714179</v>
      </c>
      <c r="C376" s="7">
        <f t="shared" ref="C376:D376" si="20">SUM(C377:C385)</f>
        <v>591281.35714285634</v>
      </c>
      <c r="D376" s="7">
        <f t="shared" si="20"/>
        <v>141616.28571428545</v>
      </c>
      <c r="E376" s="1">
        <f t="shared" si="15"/>
        <v>0.19322791810628001</v>
      </c>
    </row>
    <row r="377" spans="1:10" x14ac:dyDescent="0.3">
      <c r="A377">
        <v>2019</v>
      </c>
      <c r="B377" s="2">
        <v>152736</v>
      </c>
      <c r="C377" s="2">
        <v>121279</v>
      </c>
      <c r="D377" s="2">
        <v>31457</v>
      </c>
      <c r="E377" s="1">
        <f t="shared" si="15"/>
        <v>0.20595668342761367</v>
      </c>
      <c r="F377" s="65"/>
      <c r="G377" s="65"/>
      <c r="H377" s="65"/>
      <c r="I377" s="65"/>
    </row>
    <row r="378" spans="1:10" x14ac:dyDescent="0.3">
      <c r="A378">
        <v>2020</v>
      </c>
      <c r="B378" s="2">
        <v>113397</v>
      </c>
      <c r="C378" s="2">
        <v>82021</v>
      </c>
      <c r="D378" s="2">
        <v>31376</v>
      </c>
      <c r="E378" s="1">
        <f t="shared" si="15"/>
        <v>0.27669162323518259</v>
      </c>
      <c r="F378" s="65"/>
      <c r="G378" s="65"/>
      <c r="H378" s="65"/>
      <c r="I378" s="65"/>
    </row>
    <row r="379" spans="1:10" x14ac:dyDescent="0.3">
      <c r="A379">
        <v>2021</v>
      </c>
      <c r="B379" s="2">
        <v>93162</v>
      </c>
      <c r="C379" s="2">
        <v>69970</v>
      </c>
      <c r="D379" s="2">
        <v>23192</v>
      </c>
      <c r="E379" s="1">
        <f t="shared" si="15"/>
        <v>0.24894270196002663</v>
      </c>
    </row>
    <row r="380" spans="1:10" x14ac:dyDescent="0.3">
      <c r="A380">
        <v>2022</v>
      </c>
      <c r="B380" s="2">
        <v>75813</v>
      </c>
      <c r="C380" s="2">
        <v>61674</v>
      </c>
      <c r="D380" s="2">
        <v>14139</v>
      </c>
      <c r="E380" s="1">
        <f t="shared" si="15"/>
        <v>0.18649835780143248</v>
      </c>
    </row>
    <row r="381" spans="1:10" x14ac:dyDescent="0.3">
      <c r="A381">
        <v>2023</v>
      </c>
      <c r="B381" s="2">
        <v>63437</v>
      </c>
      <c r="C381" s="2">
        <v>51781</v>
      </c>
      <c r="D381" s="2">
        <v>11656</v>
      </c>
      <c r="E381" s="1">
        <f t="shared" si="15"/>
        <v>0.18374134968551475</v>
      </c>
    </row>
    <row r="382" spans="1:10" x14ac:dyDescent="0.3">
      <c r="A382">
        <v>2024</v>
      </c>
      <c r="B382" s="2">
        <v>79518</v>
      </c>
      <c r="C382" s="2">
        <v>67174</v>
      </c>
      <c r="D382" s="2">
        <v>12344</v>
      </c>
      <c r="E382" s="1">
        <f t="shared" si="15"/>
        <v>0.15523529263814481</v>
      </c>
    </row>
    <row r="383" spans="1:10" x14ac:dyDescent="0.3">
      <c r="A383">
        <v>2025</v>
      </c>
      <c r="B383" s="2">
        <v>74795</v>
      </c>
      <c r="C383" s="2">
        <v>62238</v>
      </c>
      <c r="D383" s="2">
        <v>12557</v>
      </c>
      <c r="E383" s="1">
        <f t="shared" si="15"/>
        <v>0.16788555384718229</v>
      </c>
      <c r="G383" t="s">
        <v>133</v>
      </c>
      <c r="H383" t="s">
        <v>128</v>
      </c>
      <c r="I383" t="s">
        <v>193</v>
      </c>
      <c r="J383" t="s">
        <v>89</v>
      </c>
    </row>
    <row r="384" spans="1:10" x14ac:dyDescent="0.3">
      <c r="A384">
        <v>2026</v>
      </c>
      <c r="B384" s="2">
        <f>_xlfn.FORECAST.LINEAR(A384,B377:B383,A377:A383)</f>
        <v>45936</v>
      </c>
      <c r="C384" s="2">
        <f>_xlfn.FORECAST.LINEAR(A384,C377:C383,A377:A383)</f>
        <v>41590.142857141793</v>
      </c>
      <c r="D384" s="2">
        <f>B384-C384</f>
        <v>4345.8571428582072</v>
      </c>
      <c r="E384" s="1">
        <f t="shared" si="15"/>
        <v>9.4606782106805273E-2</v>
      </c>
      <c r="F384">
        <v>2026</v>
      </c>
      <c r="G384" s="20">
        <f>B383*(0.79)</f>
        <v>59088.05</v>
      </c>
      <c r="H384" s="20">
        <f>C383*(0.79)</f>
        <v>49168.020000000004</v>
      </c>
      <c r="I384" s="20">
        <f>G384-H384</f>
        <v>9920.0299999999988</v>
      </c>
      <c r="J384" s="1">
        <f>I384/G384</f>
        <v>0.16788555384718226</v>
      </c>
    </row>
    <row r="385" spans="1:10" x14ac:dyDescent="0.3">
      <c r="A385">
        <v>2027</v>
      </c>
      <c r="B385" s="2">
        <f>_xlfn.FORECAST.LINEAR(A385,B377:B384,A377:A384)</f>
        <v>34103.642857141793</v>
      </c>
      <c r="C385" s="2">
        <f>_xlfn.FORECAST.LINEAR(A385,C377:C384,A377:A384)</f>
        <v>33554.214285714552</v>
      </c>
      <c r="D385" s="2">
        <f>B385-C385</f>
        <v>549.42857142724097</v>
      </c>
      <c r="E385" s="1">
        <f t="shared" si="15"/>
        <v>1.6110553753121502E-2</v>
      </c>
      <c r="F385">
        <v>2027</v>
      </c>
      <c r="G385" s="20">
        <f>G384*(0.59)</f>
        <v>34861.949500000002</v>
      </c>
      <c r="H385" s="20">
        <f>H384*(0.59)</f>
        <v>29009.131799999999</v>
      </c>
      <c r="I385" s="20">
        <f>G385-H385</f>
        <v>5852.8177000000032</v>
      </c>
      <c r="J385" s="1">
        <f>I385/G385</f>
        <v>0.16788555384718237</v>
      </c>
    </row>
    <row r="386" spans="1:10" x14ac:dyDescent="0.3">
      <c r="A386" s="6" t="s">
        <v>40</v>
      </c>
      <c r="B386" s="7">
        <f>SUM(B387:B395)</f>
        <v>46010.57142857142</v>
      </c>
      <c r="C386" s="7">
        <f t="shared" ref="C386:D386" si="21">SUM(C387:C395)</f>
        <v>29951.357142857159</v>
      </c>
      <c r="D386" s="7">
        <f t="shared" si="21"/>
        <v>16059.214285714261</v>
      </c>
      <c r="E386" s="1">
        <f t="shared" si="15"/>
        <v>0.34903314145196396</v>
      </c>
    </row>
    <row r="387" spans="1:10" x14ac:dyDescent="0.3">
      <c r="A387">
        <v>2019</v>
      </c>
      <c r="B387" s="2">
        <v>7784</v>
      </c>
      <c r="C387" s="2">
        <v>5367</v>
      </c>
      <c r="D387" s="2">
        <v>2417</v>
      </c>
      <c r="E387" s="1">
        <f t="shared" si="15"/>
        <v>0.31050873586844807</v>
      </c>
    </row>
    <row r="388" spans="1:10" x14ac:dyDescent="0.3">
      <c r="A388">
        <v>2020</v>
      </c>
      <c r="B388" s="2">
        <v>0</v>
      </c>
      <c r="C388" s="2">
        <v>46</v>
      </c>
      <c r="D388" s="2">
        <v>-46</v>
      </c>
      <c r="E388" s="1" t="e">
        <f t="shared" si="15"/>
        <v>#DIV/0!</v>
      </c>
    </row>
    <row r="389" spans="1:10" x14ac:dyDescent="0.3">
      <c r="A389">
        <v>2021</v>
      </c>
      <c r="B389" s="2">
        <v>5746</v>
      </c>
      <c r="C389" s="2">
        <v>1514</v>
      </c>
      <c r="D389" s="2">
        <v>4232</v>
      </c>
      <c r="E389" s="1">
        <f t="shared" si="15"/>
        <v>0.73651235642185864</v>
      </c>
    </row>
    <row r="390" spans="1:10" x14ac:dyDescent="0.3">
      <c r="A390">
        <v>2022</v>
      </c>
      <c r="B390" s="2">
        <v>8428</v>
      </c>
      <c r="C390" s="2">
        <v>3770</v>
      </c>
      <c r="D390" s="2">
        <v>4658</v>
      </c>
      <c r="E390" s="1">
        <f t="shared" si="15"/>
        <v>0.55268153773137163</v>
      </c>
    </row>
    <row r="391" spans="1:10" x14ac:dyDescent="0.3">
      <c r="A391">
        <v>2023</v>
      </c>
      <c r="B391" s="2">
        <v>6385</v>
      </c>
      <c r="C391" s="2">
        <v>5132</v>
      </c>
      <c r="D391" s="2">
        <v>1253</v>
      </c>
      <c r="E391" s="1">
        <f t="shared" si="15"/>
        <v>0.19624119028974157</v>
      </c>
    </row>
    <row r="392" spans="1:10" x14ac:dyDescent="0.3">
      <c r="A392">
        <v>2024</v>
      </c>
      <c r="B392" s="2">
        <v>3900</v>
      </c>
      <c r="C392" s="2">
        <v>3087</v>
      </c>
      <c r="D392" s="2">
        <v>813</v>
      </c>
      <c r="E392" s="1">
        <f t="shared" si="15"/>
        <v>0.20846153846153845</v>
      </c>
    </row>
    <row r="393" spans="1:10" x14ac:dyDescent="0.3">
      <c r="A393">
        <v>2025</v>
      </c>
      <c r="B393" s="2">
        <v>4155</v>
      </c>
      <c r="C393" s="2">
        <v>3417</v>
      </c>
      <c r="D393" s="2">
        <v>738</v>
      </c>
      <c r="E393" s="1">
        <f t="shared" si="15"/>
        <v>0.17761732851985559</v>
      </c>
    </row>
    <row r="394" spans="1:10" x14ac:dyDescent="0.3">
      <c r="A394">
        <v>2026</v>
      </c>
      <c r="B394" s="2">
        <f>_xlfn.FORECAST.LINEAR(A394,B387:B393,A387:A393)</f>
        <v>4850</v>
      </c>
      <c r="C394" s="2">
        <f>_xlfn.FORECAST.LINEAR(A394,C387:C393,A387:A393)</f>
        <v>3740.4285714285797</v>
      </c>
      <c r="D394" s="2">
        <f>B394-C394</f>
        <v>1109.5714285714203</v>
      </c>
      <c r="E394" s="1">
        <f t="shared" si="15"/>
        <v>0.22877761413843717</v>
      </c>
    </row>
    <row r="395" spans="1:10" x14ac:dyDescent="0.3">
      <c r="A395">
        <v>2027</v>
      </c>
      <c r="B395" s="2">
        <f>_xlfn.FORECAST.LINEAR(A395,B387:B394,A387:A394)</f>
        <v>4762.5714285714203</v>
      </c>
      <c r="C395" s="2">
        <f>_xlfn.FORECAST.LINEAR(A395,C387:C394,A387:A394)</f>
        <v>3877.9285714285797</v>
      </c>
      <c r="D395" s="2">
        <f>B395-C395</f>
        <v>884.64285714284051</v>
      </c>
      <c r="E395" s="1">
        <f t="shared" si="15"/>
        <v>0.18574899514067714</v>
      </c>
    </row>
    <row r="396" spans="1:10" x14ac:dyDescent="0.3">
      <c r="A396" s="13" t="s">
        <v>41</v>
      </c>
      <c r="B396" s="7">
        <f>SUM(B397:B405)</f>
        <v>646750.28571428359</v>
      </c>
      <c r="C396" s="7">
        <f t="shared" ref="C396:D396" si="22">SUM(C397:C405)</f>
        <v>249841.92857142724</v>
      </c>
      <c r="D396" s="7">
        <f t="shared" si="22"/>
        <v>396908.35714285634</v>
      </c>
      <c r="E396" s="1">
        <f t="shared" si="15"/>
        <v>0.61369645427292396</v>
      </c>
      <c r="G396" s="68" t="s">
        <v>186</v>
      </c>
      <c r="H396" s="68"/>
      <c r="I396" s="68"/>
    </row>
    <row r="397" spans="1:10" x14ac:dyDescent="0.3">
      <c r="A397">
        <v>2019</v>
      </c>
      <c r="B397" s="2">
        <v>128049</v>
      </c>
      <c r="C397" s="2">
        <v>48617</v>
      </c>
      <c r="D397" s="2">
        <f>B397-C397</f>
        <v>79432</v>
      </c>
      <c r="E397" s="1">
        <f t="shared" si="15"/>
        <v>0.62032503182375498</v>
      </c>
      <c r="G397" s="68"/>
      <c r="H397" s="68"/>
      <c r="I397" s="68"/>
    </row>
    <row r="398" spans="1:10" x14ac:dyDescent="0.3">
      <c r="A398">
        <v>2020</v>
      </c>
      <c r="B398" s="2">
        <v>130654</v>
      </c>
      <c r="C398" s="2">
        <v>44951</v>
      </c>
      <c r="D398" s="2">
        <f t="shared" ref="D398:D405" si="23">B398-C398</f>
        <v>85703</v>
      </c>
      <c r="E398" s="1">
        <f t="shared" si="15"/>
        <v>0.65595389348967503</v>
      </c>
      <c r="G398" s="68"/>
      <c r="H398" s="68"/>
      <c r="I398" s="68"/>
    </row>
    <row r="399" spans="1:10" x14ac:dyDescent="0.3">
      <c r="A399">
        <v>2021</v>
      </c>
      <c r="B399" s="2">
        <v>150236</v>
      </c>
      <c r="C399" s="2">
        <v>53558</v>
      </c>
      <c r="D399" s="2">
        <f t="shared" si="23"/>
        <v>96678</v>
      </c>
      <c r="E399" s="1">
        <f t="shared" si="15"/>
        <v>0.64350754812428446</v>
      </c>
      <c r="G399" s="68"/>
      <c r="H399" s="68"/>
      <c r="I399" s="68"/>
    </row>
    <row r="400" spans="1:10" x14ac:dyDescent="0.3">
      <c r="A400">
        <v>2022</v>
      </c>
      <c r="B400" s="2">
        <v>135611</v>
      </c>
      <c r="C400" s="2">
        <v>51897</v>
      </c>
      <c r="D400" s="2">
        <f t="shared" si="23"/>
        <v>83714</v>
      </c>
      <c r="E400" s="1">
        <f t="shared" si="15"/>
        <v>0.61730980525178636</v>
      </c>
      <c r="G400" t="s">
        <v>137</v>
      </c>
    </row>
    <row r="401" spans="1:10" x14ac:dyDescent="0.3">
      <c r="A401">
        <v>2023</v>
      </c>
      <c r="B401" s="2">
        <v>76868</v>
      </c>
      <c r="C401" s="2">
        <v>28302</v>
      </c>
      <c r="D401" s="2">
        <f t="shared" si="23"/>
        <v>48566</v>
      </c>
      <c r="E401" s="1">
        <f t="shared" si="15"/>
        <v>0.63181037622938019</v>
      </c>
    </row>
    <row r="402" spans="1:10" x14ac:dyDescent="0.3">
      <c r="A402">
        <v>2024</v>
      </c>
      <c r="B402" s="2">
        <v>22515</v>
      </c>
      <c r="C402" s="2">
        <v>14183</v>
      </c>
      <c r="D402" s="2">
        <f t="shared" si="23"/>
        <v>8332</v>
      </c>
      <c r="E402" s="1">
        <f t="shared" si="15"/>
        <v>0.37006440151010439</v>
      </c>
    </row>
    <row r="403" spans="1:10" x14ac:dyDescent="0.3">
      <c r="A403">
        <v>2025</v>
      </c>
      <c r="B403" s="2">
        <v>15739</v>
      </c>
      <c r="C403" s="2">
        <v>6271</v>
      </c>
      <c r="D403" s="2">
        <f t="shared" si="23"/>
        <v>9468</v>
      </c>
      <c r="E403" s="1">
        <f t="shared" si="15"/>
        <v>0.60156299637842303</v>
      </c>
      <c r="G403" t="s">
        <v>133</v>
      </c>
      <c r="H403" t="s">
        <v>128</v>
      </c>
      <c r="I403" t="s">
        <v>134</v>
      </c>
      <c r="J403" t="s">
        <v>89</v>
      </c>
    </row>
    <row r="404" spans="1:10" x14ac:dyDescent="0.3">
      <c r="A404">
        <v>2026</v>
      </c>
      <c r="B404" s="2">
        <f>_xlfn.FORECAST.LINEAR(A404,B397:B403,A397:A403)</f>
        <v>4728</v>
      </c>
      <c r="C404" s="2">
        <f>_xlfn.FORECAST.LINEAR(A404,C397:C403,A397:A403)</f>
        <v>4849.8571428563446</v>
      </c>
      <c r="D404" s="2">
        <f t="shared" si="23"/>
        <v>-121.85714285634458</v>
      </c>
      <c r="E404" s="1">
        <f t="shared" si="15"/>
        <v>-2.5773507372323305E-2</v>
      </c>
      <c r="F404">
        <v>2026</v>
      </c>
      <c r="G404" s="20">
        <f>B403*(0.79)</f>
        <v>12433.810000000001</v>
      </c>
      <c r="H404" s="20">
        <f>C403*(0.79)</f>
        <v>4954.09</v>
      </c>
      <c r="I404" s="20">
        <f>G404-H404</f>
        <v>7479.7200000000012</v>
      </c>
      <c r="J404" s="1">
        <f>I404/G404</f>
        <v>0.60156299637842303</v>
      </c>
    </row>
    <row r="405" spans="1:10" x14ac:dyDescent="0.3">
      <c r="A405">
        <v>2027</v>
      </c>
      <c r="B405" s="2">
        <f>_xlfn.FORECAST.LINEAR(A405,B397:B404,A397:A404)</f>
        <v>-17649.714285716414</v>
      </c>
      <c r="C405" s="2">
        <f>_xlfn.FORECAST.LINEAR(A405,C397:C404,A397:A404)</f>
        <v>-2786.9285714291036</v>
      </c>
      <c r="D405" s="2">
        <f t="shared" si="23"/>
        <v>-14862.785714287311</v>
      </c>
      <c r="E405" s="1">
        <f t="shared" si="15"/>
        <v>0.84209780813933555</v>
      </c>
      <c r="F405">
        <v>2027</v>
      </c>
      <c r="G405" s="20">
        <f>G404*(0.59)</f>
        <v>7335.9479000000001</v>
      </c>
      <c r="H405" s="20">
        <f>H404*(0.59)</f>
        <v>2922.9130999999998</v>
      </c>
      <c r="I405" s="20">
        <f>G405-H405</f>
        <v>4413.0348000000004</v>
      </c>
      <c r="J405" s="1">
        <f>I405/G405</f>
        <v>0.60156299637842303</v>
      </c>
    </row>
    <row r="406" spans="1:10" x14ac:dyDescent="0.3">
      <c r="A406" s="6" t="s">
        <v>42</v>
      </c>
      <c r="B406" s="7">
        <f>SUM(B407:B415)</f>
        <v>352651.82142857183</v>
      </c>
      <c r="C406" s="7">
        <f t="shared" ref="C406:D406" si="24">SUM(C407:C415)</f>
        <v>88486.714285714086</v>
      </c>
      <c r="D406" s="7">
        <f t="shared" si="24"/>
        <v>264165.10714285774</v>
      </c>
      <c r="E406" s="1">
        <f t="shared" si="15"/>
        <v>0.74908193036616233</v>
      </c>
    </row>
    <row r="407" spans="1:10" x14ac:dyDescent="0.3">
      <c r="A407">
        <v>2019</v>
      </c>
      <c r="B407" s="2">
        <v>3689</v>
      </c>
      <c r="C407" s="2">
        <v>641</v>
      </c>
      <c r="D407" s="2">
        <v>3048</v>
      </c>
      <c r="E407" s="1">
        <f t="shared" si="15"/>
        <v>0.82624017348875034</v>
      </c>
    </row>
    <row r="408" spans="1:10" x14ac:dyDescent="0.3">
      <c r="A408">
        <v>2020</v>
      </c>
      <c r="B408" s="2">
        <v>32908</v>
      </c>
      <c r="C408" s="2">
        <v>8573</v>
      </c>
      <c r="D408" s="2">
        <v>24335</v>
      </c>
      <c r="E408" s="1">
        <f t="shared" si="15"/>
        <v>0.73948583930959033</v>
      </c>
    </row>
    <row r="409" spans="1:10" x14ac:dyDescent="0.3">
      <c r="A409">
        <v>2021</v>
      </c>
      <c r="B409" s="2">
        <v>28101</v>
      </c>
      <c r="C409" s="2">
        <v>3446</v>
      </c>
      <c r="D409" s="2">
        <v>24655</v>
      </c>
      <c r="E409" s="1">
        <f t="shared" si="15"/>
        <v>0.8773709120671862</v>
      </c>
    </row>
    <row r="410" spans="1:10" x14ac:dyDescent="0.3">
      <c r="A410">
        <v>2022</v>
      </c>
      <c r="B410" s="2">
        <v>59536</v>
      </c>
      <c r="C410" s="2">
        <v>8926</v>
      </c>
      <c r="D410" s="2">
        <v>50610</v>
      </c>
      <c r="E410" s="1">
        <f t="shared" si="15"/>
        <v>0.8500739048642838</v>
      </c>
    </row>
    <row r="411" spans="1:10" x14ac:dyDescent="0.3">
      <c r="A411">
        <v>2023</v>
      </c>
      <c r="B411" s="2">
        <v>60082</v>
      </c>
      <c r="C411" s="2">
        <v>20166</v>
      </c>
      <c r="D411" s="2">
        <v>39916</v>
      </c>
      <c r="E411" s="1">
        <f t="shared" si="15"/>
        <v>0.66435870976332345</v>
      </c>
    </row>
    <row r="412" spans="1:10" x14ac:dyDescent="0.3">
      <c r="A412">
        <v>2024</v>
      </c>
      <c r="B412" s="2">
        <v>43181</v>
      </c>
      <c r="C412" s="2">
        <v>16697</v>
      </c>
      <c r="D412" s="2">
        <v>26484</v>
      </c>
      <c r="E412" s="1">
        <f t="shared" ref="E412:E493" si="25">D412/B412</f>
        <v>0.61332530511104422</v>
      </c>
    </row>
    <row r="413" spans="1:10" x14ac:dyDescent="0.3">
      <c r="A413">
        <v>2025</v>
      </c>
      <c r="B413" s="2">
        <v>20813</v>
      </c>
      <c r="C413" s="2">
        <v>1493</v>
      </c>
      <c r="D413" s="2">
        <v>19320</v>
      </c>
      <c r="E413" s="1">
        <f t="shared" si="25"/>
        <v>0.92826598760390144</v>
      </c>
    </row>
    <row r="414" spans="1:10" x14ac:dyDescent="0.3">
      <c r="A414">
        <v>2026</v>
      </c>
      <c r="B414" s="2">
        <f>_xlfn.FORECAST.LINEAR(A414,B407:B413,A407:A413)</f>
        <v>50315.571428571828</v>
      </c>
      <c r="C414" s="2">
        <f>_xlfn.FORECAST.LINEAR(A414,C407:C413,A407:A413)</f>
        <v>13638</v>
      </c>
      <c r="D414" s="2">
        <f>B414-C414</f>
        <v>36677.571428571828</v>
      </c>
      <c r="E414" s="1">
        <f t="shared" si="25"/>
        <v>0.7289507082442549</v>
      </c>
    </row>
    <row r="415" spans="1:10" x14ac:dyDescent="0.3">
      <c r="A415">
        <v>2027</v>
      </c>
      <c r="B415" s="2">
        <f>_xlfn.FORECAST.LINEAR(A415,B407:B414,A407:A414)</f>
        <v>54026.25</v>
      </c>
      <c r="C415" s="2">
        <f>_xlfn.FORECAST.LINEAR(A415,C407:C414,A407:A414)</f>
        <v>14906.714285714086</v>
      </c>
      <c r="D415" s="2">
        <f>B415-C415</f>
        <v>39119.535714285914</v>
      </c>
      <c r="E415" s="1">
        <f t="shared" si="25"/>
        <v>0.72408386135047154</v>
      </c>
    </row>
    <row r="416" spans="1:10" x14ac:dyDescent="0.3">
      <c r="A416" s="6" t="s">
        <v>43</v>
      </c>
      <c r="B416" s="7">
        <f>SUM(B417:B425)</f>
        <v>443982.53571428591</v>
      </c>
      <c r="C416" s="7">
        <f t="shared" ref="C416:D416" si="26">SUM(C417:C425)</f>
        <v>115192.60714285704</v>
      </c>
      <c r="D416" s="7">
        <f t="shared" si="26"/>
        <v>328789.92857142887</v>
      </c>
      <c r="E416" s="1">
        <f t="shared" si="25"/>
        <v>0.74054698580084144</v>
      </c>
    </row>
    <row r="417" spans="1:5" x14ac:dyDescent="0.3">
      <c r="A417">
        <v>2019</v>
      </c>
      <c r="B417" s="2">
        <v>20026</v>
      </c>
      <c r="C417" s="2">
        <v>9030</v>
      </c>
      <c r="D417" s="2">
        <v>10996</v>
      </c>
      <c r="E417" s="1">
        <f t="shared" si="25"/>
        <v>0.54908618795565767</v>
      </c>
    </row>
    <row r="418" spans="1:5" x14ac:dyDescent="0.3">
      <c r="A418">
        <v>2020</v>
      </c>
      <c r="B418" s="2">
        <v>42589</v>
      </c>
      <c r="C418" s="2">
        <v>15360</v>
      </c>
      <c r="D418" s="2">
        <v>27229</v>
      </c>
      <c r="E418" s="1">
        <f t="shared" si="25"/>
        <v>0.63934349245110245</v>
      </c>
    </row>
    <row r="419" spans="1:5" x14ac:dyDescent="0.3">
      <c r="A419">
        <v>2021</v>
      </c>
      <c r="B419" s="2">
        <v>42348</v>
      </c>
      <c r="C419" s="2">
        <v>2307</v>
      </c>
      <c r="D419" s="2">
        <v>40041</v>
      </c>
      <c r="E419" s="1">
        <f t="shared" si="25"/>
        <v>0.94552281099461599</v>
      </c>
    </row>
    <row r="420" spans="1:5" x14ac:dyDescent="0.3">
      <c r="A420">
        <v>2022</v>
      </c>
      <c r="B420" s="2">
        <v>81620</v>
      </c>
      <c r="C420" s="2">
        <v>10297</v>
      </c>
      <c r="D420" s="2">
        <v>71323</v>
      </c>
      <c r="E420" s="1">
        <f t="shared" si="25"/>
        <v>0.87384219554030873</v>
      </c>
    </row>
    <row r="421" spans="1:5" x14ac:dyDescent="0.3">
      <c r="A421">
        <v>2023</v>
      </c>
      <c r="B421" s="2">
        <v>73447</v>
      </c>
      <c r="C421" s="2">
        <v>19257</v>
      </c>
      <c r="D421" s="2">
        <v>54190</v>
      </c>
      <c r="E421" s="1">
        <f t="shared" si="25"/>
        <v>0.73781093849987067</v>
      </c>
    </row>
    <row r="422" spans="1:5" x14ac:dyDescent="0.3">
      <c r="A422">
        <v>2024</v>
      </c>
      <c r="B422" s="2">
        <v>48908</v>
      </c>
      <c r="C422" s="2">
        <v>19170</v>
      </c>
      <c r="D422" s="2">
        <v>29738</v>
      </c>
      <c r="E422" s="1">
        <f t="shared" si="25"/>
        <v>0.60803958452604889</v>
      </c>
    </row>
    <row r="423" spans="1:5" x14ac:dyDescent="0.3">
      <c r="A423">
        <v>2025</v>
      </c>
      <c r="B423" s="2">
        <v>23124</v>
      </c>
      <c r="C423" s="2">
        <v>8459</v>
      </c>
      <c r="D423" s="2">
        <v>14665</v>
      </c>
      <c r="E423" s="1">
        <f t="shared" si="25"/>
        <v>0.63418958657671687</v>
      </c>
    </row>
    <row r="424" spans="1:5" x14ac:dyDescent="0.3">
      <c r="A424">
        <v>2026</v>
      </c>
      <c r="B424" s="2">
        <f>_xlfn.FORECAST.LINEAR(A424,B417:B423,A417:A423)</f>
        <v>55013.285714285914</v>
      </c>
      <c r="C424" s="2">
        <f>_xlfn.FORECAST.LINEAR(A424,C417:C423,A417:A423)</f>
        <v>15248.142857142724</v>
      </c>
      <c r="D424" s="2">
        <f>B424-C424</f>
        <v>39765.14285714319</v>
      </c>
      <c r="E424" s="1">
        <f t="shared" si="25"/>
        <v>0.72282799219929039</v>
      </c>
    </row>
    <row r="425" spans="1:5" x14ac:dyDescent="0.3">
      <c r="A425">
        <v>2027</v>
      </c>
      <c r="B425" s="2">
        <f>_xlfn.FORECAST.LINEAR(A425,B417:B424,A417:A424)</f>
        <v>56907.25</v>
      </c>
      <c r="C425" s="2">
        <f>_xlfn.FORECAST.LINEAR(A425,C417:C424,A417:A424)</f>
        <v>16064.464285714319</v>
      </c>
      <c r="D425" s="2">
        <f>B425-C425</f>
        <v>40842.785714285681</v>
      </c>
      <c r="E425" s="1">
        <f t="shared" si="25"/>
        <v>0.71770794958965123</v>
      </c>
    </row>
    <row r="426" spans="1:5" x14ac:dyDescent="0.3">
      <c r="A426" s="6" t="s">
        <v>44</v>
      </c>
      <c r="B426" s="7">
        <f>SUM(B427:B433)</f>
        <v>324366.02830188908</v>
      </c>
      <c r="C426" s="7">
        <f t="shared" ref="C426:D426" si="27">SUM(C427:C433)</f>
        <v>109601.59433962312</v>
      </c>
      <c r="D426" s="7">
        <f t="shared" si="27"/>
        <v>214764.43396226596</v>
      </c>
      <c r="E426" s="1">
        <f t="shared" si="25"/>
        <v>0.66210519975409887</v>
      </c>
    </row>
    <row r="427" spans="1:5" x14ac:dyDescent="0.3">
      <c r="A427">
        <v>2019</v>
      </c>
      <c r="B427" s="2">
        <v>10292</v>
      </c>
      <c r="C427" s="2">
        <v>3936</v>
      </c>
      <c r="D427" s="2">
        <v>6356</v>
      </c>
      <c r="E427" s="1">
        <f t="shared" si="25"/>
        <v>0.61756704236300042</v>
      </c>
    </row>
    <row r="428" spans="1:5" x14ac:dyDescent="0.3">
      <c r="A428">
        <v>2022</v>
      </c>
      <c r="B428" s="2">
        <v>58932</v>
      </c>
      <c r="C428" s="2">
        <v>12037</v>
      </c>
      <c r="D428" s="2">
        <v>46895</v>
      </c>
      <c r="E428" s="1">
        <f t="shared" si="25"/>
        <v>0.79574764134935183</v>
      </c>
    </row>
    <row r="429" spans="1:5" x14ac:dyDescent="0.3">
      <c r="A429">
        <v>2023</v>
      </c>
      <c r="B429" s="2">
        <v>55548</v>
      </c>
      <c r="C429" s="2">
        <v>20052</v>
      </c>
      <c r="D429" s="2">
        <v>35496</v>
      </c>
      <c r="E429" s="1">
        <f t="shared" si="25"/>
        <v>0.63901490602721966</v>
      </c>
    </row>
    <row r="430" spans="1:5" x14ac:dyDescent="0.3">
      <c r="A430">
        <v>2024</v>
      </c>
      <c r="B430" s="2">
        <v>38315</v>
      </c>
      <c r="C430" s="2">
        <v>13814</v>
      </c>
      <c r="D430" s="2">
        <v>24501</v>
      </c>
      <c r="E430" s="1">
        <f t="shared" si="25"/>
        <v>0.63946235155944142</v>
      </c>
    </row>
    <row r="431" spans="1:5" x14ac:dyDescent="0.3">
      <c r="A431">
        <v>2025</v>
      </c>
      <c r="B431" s="2">
        <v>41513</v>
      </c>
      <c r="C431" s="2">
        <v>16483</v>
      </c>
      <c r="D431" s="2">
        <v>25030</v>
      </c>
      <c r="E431" s="1">
        <f t="shared" si="25"/>
        <v>0.60294365620408064</v>
      </c>
    </row>
    <row r="432" spans="1:5" x14ac:dyDescent="0.3">
      <c r="A432">
        <v>2026</v>
      </c>
      <c r="B432" s="2">
        <f>_xlfn.FORECAST.LINEAR(A432,B427:B431,A427:A431)</f>
        <v>57451.858490567654</v>
      </c>
      <c r="C432" s="2">
        <f>_xlfn.FORECAST.LINEAR(A432,C427:C431,A427:A431)</f>
        <v>20566.028301887214</v>
      </c>
      <c r="D432" s="2">
        <f>B432-C432</f>
        <v>36885.83018868044</v>
      </c>
      <c r="E432" s="1">
        <f t="shared" si="25"/>
        <v>0.64203023466571219</v>
      </c>
    </row>
    <row r="433" spans="1:9" x14ac:dyDescent="0.3">
      <c r="A433">
        <v>2027</v>
      </c>
      <c r="B433" s="2">
        <f>_xlfn.FORECAST.LINEAR(A433,B427:B432,A427:A432)</f>
        <v>62314.169811321422</v>
      </c>
      <c r="C433" s="2">
        <f>_xlfn.FORECAST.LINEAR(A433,C427:C432,A427:A432)</f>
        <v>22713.566037735902</v>
      </c>
      <c r="D433" s="2">
        <f>B433-C433</f>
        <v>39600.603773585521</v>
      </c>
      <c r="E433" s="1">
        <f t="shared" si="25"/>
        <v>0.63549917929566579</v>
      </c>
    </row>
    <row r="434" spans="1:9" x14ac:dyDescent="0.3">
      <c r="A434" s="6" t="s">
        <v>45</v>
      </c>
      <c r="B434" s="7">
        <f>SUM(B435:B443)</f>
        <v>503627.14285714924</v>
      </c>
      <c r="C434" s="7">
        <f t="shared" ref="C434:D434" si="28">SUM(C435:C443)</f>
        <v>210414.21428571269</v>
      </c>
      <c r="D434" s="7">
        <f t="shared" si="28"/>
        <v>293212.92857143655</v>
      </c>
      <c r="E434" s="1">
        <f t="shared" si="25"/>
        <v>0.58220239462868784</v>
      </c>
    </row>
    <row r="435" spans="1:9" x14ac:dyDescent="0.3">
      <c r="A435">
        <v>2019</v>
      </c>
      <c r="B435" s="2">
        <v>106262</v>
      </c>
      <c r="C435" s="2">
        <v>35753</v>
      </c>
      <c r="D435" s="2">
        <v>70509</v>
      </c>
      <c r="E435" s="1">
        <f t="shared" si="25"/>
        <v>0.66353917675180218</v>
      </c>
    </row>
    <row r="436" spans="1:9" x14ac:dyDescent="0.3">
      <c r="A436">
        <v>2020</v>
      </c>
      <c r="B436" s="2">
        <v>128951</v>
      </c>
      <c r="C436" s="2">
        <v>55713</v>
      </c>
      <c r="D436" s="2">
        <v>73238</v>
      </c>
      <c r="E436" s="1">
        <f t="shared" si="25"/>
        <v>0.56795216787772096</v>
      </c>
    </row>
    <row r="437" spans="1:9" x14ac:dyDescent="0.3">
      <c r="A437">
        <v>2021</v>
      </c>
      <c r="B437" s="2">
        <v>103146</v>
      </c>
      <c r="C437" s="2">
        <v>49103</v>
      </c>
      <c r="D437" s="2">
        <v>54043</v>
      </c>
      <c r="E437" s="1">
        <f t="shared" si="25"/>
        <v>0.52394663874507974</v>
      </c>
    </row>
    <row r="438" spans="1:9" x14ac:dyDescent="0.3">
      <c r="A438">
        <v>2022</v>
      </c>
      <c r="B438" s="2">
        <v>55096</v>
      </c>
      <c r="C438" s="2">
        <v>19726</v>
      </c>
      <c r="D438" s="2">
        <v>35370</v>
      </c>
      <c r="E438" s="1">
        <f t="shared" si="25"/>
        <v>0.64197037897488018</v>
      </c>
    </row>
    <row r="439" spans="1:9" x14ac:dyDescent="0.3">
      <c r="A439">
        <v>2023</v>
      </c>
      <c r="B439" s="2">
        <v>56841</v>
      </c>
      <c r="C439" s="2">
        <v>24301</v>
      </c>
      <c r="D439" s="2">
        <v>32540</v>
      </c>
      <c r="E439" s="1">
        <f t="shared" si="25"/>
        <v>0.57247409440368746</v>
      </c>
    </row>
    <row r="440" spans="1:9" x14ac:dyDescent="0.3">
      <c r="A440">
        <v>2024</v>
      </c>
      <c r="B440" s="2">
        <v>41088</v>
      </c>
      <c r="C440" s="2">
        <v>18194</v>
      </c>
      <c r="D440" s="2">
        <v>22894</v>
      </c>
      <c r="E440" s="1">
        <f t="shared" si="25"/>
        <v>0.55719431464174451</v>
      </c>
    </row>
    <row r="441" spans="1:9" x14ac:dyDescent="0.3">
      <c r="A441">
        <v>2025</v>
      </c>
      <c r="B441" s="2">
        <v>20303</v>
      </c>
      <c r="C441" s="2">
        <v>7223</v>
      </c>
      <c r="D441" s="2">
        <v>13080</v>
      </c>
      <c r="E441" s="1">
        <f t="shared" si="25"/>
        <v>0.64423976752204104</v>
      </c>
    </row>
    <row r="442" spans="1:9" x14ac:dyDescent="0.3">
      <c r="A442">
        <v>2026</v>
      </c>
      <c r="B442" s="2">
        <f>_xlfn.FORECAST.LINEAR(A442,B435:B441,A435:A441)</f>
        <v>4539.8571428582072</v>
      </c>
      <c r="C442" s="2">
        <f>_xlfn.FORECAST.LINEAR(A442,C435:C441,A435:A441)</f>
        <v>3511.8571428563446</v>
      </c>
      <c r="D442" s="2">
        <f>B442-C442</f>
        <v>1028.0000000018626</v>
      </c>
      <c r="E442" s="1">
        <f t="shared" si="25"/>
        <v>0.22643884326163036</v>
      </c>
    </row>
    <row r="443" spans="1:9" x14ac:dyDescent="0.3">
      <c r="A443">
        <v>2027</v>
      </c>
      <c r="B443" s="2">
        <f>_xlfn.FORECAST.LINEAR(A443,B435:B442,A435:A442)</f>
        <v>-12599.714285708964</v>
      </c>
      <c r="C443" s="2">
        <f>_xlfn.FORECAST.LINEAR(A443,C435:C442,A435:A442)</f>
        <v>-3110.6428571436554</v>
      </c>
      <c r="D443" s="2">
        <f>B443-C443</f>
        <v>-9489.0714285653085</v>
      </c>
      <c r="E443" s="1">
        <f t="shared" si="25"/>
        <v>0.75311798453462908</v>
      </c>
    </row>
    <row r="444" spans="1:9" x14ac:dyDescent="0.3">
      <c r="A444" s="6" t="s">
        <v>46</v>
      </c>
      <c r="B444" s="7">
        <f>SUM(B445:B453)</f>
        <v>147253.82142856903</v>
      </c>
      <c r="C444" s="7">
        <f>SUM(C445:C453)</f>
        <v>81240.107142857276</v>
      </c>
      <c r="D444" s="7">
        <f>SUM(D445:D453)</f>
        <v>66013.714285711758</v>
      </c>
      <c r="E444" s="1">
        <f t="shared" si="25"/>
        <v>0.44829881931270743</v>
      </c>
      <c r="G444" s="72" t="s">
        <v>186</v>
      </c>
      <c r="H444" s="72"/>
      <c r="I444" s="72"/>
    </row>
    <row r="445" spans="1:9" x14ac:dyDescent="0.3">
      <c r="A445">
        <v>2019</v>
      </c>
      <c r="B445" s="2">
        <v>32512</v>
      </c>
      <c r="C445" s="2">
        <v>18734</v>
      </c>
      <c r="D445" s="2">
        <v>13778</v>
      </c>
      <c r="E445" s="1">
        <f t="shared" si="25"/>
        <v>0.42378198818897639</v>
      </c>
      <c r="G445" s="72"/>
      <c r="H445" s="72"/>
      <c r="I445" s="72"/>
    </row>
    <row r="446" spans="1:9" x14ac:dyDescent="0.3">
      <c r="A446">
        <v>2020</v>
      </c>
      <c r="B446" s="2">
        <v>41290</v>
      </c>
      <c r="C446" s="2">
        <v>26198</v>
      </c>
      <c r="D446" s="2">
        <v>15092</v>
      </c>
      <c r="E446" s="1">
        <f t="shared" si="25"/>
        <v>0.36551223056430127</v>
      </c>
      <c r="G446" s="72"/>
      <c r="H446" s="72"/>
      <c r="I446" s="72"/>
    </row>
    <row r="447" spans="1:9" x14ac:dyDescent="0.3">
      <c r="A447">
        <v>2021</v>
      </c>
      <c r="B447" s="2">
        <v>18792</v>
      </c>
      <c r="C447" s="2">
        <v>10121</v>
      </c>
      <c r="D447" s="2">
        <v>8671</v>
      </c>
      <c r="E447" s="1">
        <f t="shared" si="25"/>
        <v>0.46141975308641975</v>
      </c>
      <c r="G447" s="72"/>
      <c r="H447" s="72"/>
      <c r="I447" s="72"/>
    </row>
    <row r="448" spans="1:9" x14ac:dyDescent="0.3">
      <c r="A448">
        <v>2022</v>
      </c>
      <c r="B448" s="2">
        <v>17347</v>
      </c>
      <c r="C448" s="2">
        <v>8973</v>
      </c>
      <c r="D448" s="2">
        <v>8374</v>
      </c>
      <c r="E448" s="1">
        <f t="shared" si="25"/>
        <v>0.48273476681847005</v>
      </c>
    </row>
    <row r="449" spans="1:10" x14ac:dyDescent="0.3">
      <c r="A449">
        <v>2023</v>
      </c>
      <c r="B449" s="2">
        <v>13586</v>
      </c>
      <c r="C449" s="2">
        <v>6927</v>
      </c>
      <c r="D449" s="2">
        <v>6659</v>
      </c>
      <c r="E449" s="1">
        <f t="shared" si="25"/>
        <v>0.49013690563815693</v>
      </c>
    </row>
    <row r="450" spans="1:10" x14ac:dyDescent="0.3">
      <c r="A450">
        <v>2024</v>
      </c>
      <c r="B450" s="2">
        <v>13385</v>
      </c>
      <c r="C450" s="2">
        <v>6892</v>
      </c>
      <c r="D450" s="2">
        <v>6493</v>
      </c>
      <c r="E450" s="1">
        <f t="shared" si="25"/>
        <v>0.48509525588345165</v>
      </c>
    </row>
    <row r="451" spans="1:10" x14ac:dyDescent="0.3">
      <c r="A451">
        <v>2025</v>
      </c>
      <c r="B451" s="2">
        <v>9861</v>
      </c>
      <c r="C451" s="2">
        <v>5625</v>
      </c>
      <c r="D451" s="2">
        <v>4236</v>
      </c>
      <c r="E451" s="1">
        <f t="shared" si="25"/>
        <v>0.42957103742013997</v>
      </c>
      <c r="G451" t="s">
        <v>133</v>
      </c>
      <c r="H451" t="s">
        <v>128</v>
      </c>
      <c r="I451" t="s">
        <v>134</v>
      </c>
      <c r="J451" t="s">
        <v>89</v>
      </c>
    </row>
    <row r="452" spans="1:10" x14ac:dyDescent="0.3">
      <c r="A452" s="13">
        <v>2026</v>
      </c>
      <c r="B452" s="14">
        <f>_xlfn.FORECAST.LINEAR(A452,B445:B451,A445:A451)</f>
        <v>2543.428571427241</v>
      </c>
      <c r="C452" s="14">
        <f>_xlfn.FORECAST.LINEAR(A452,C445:C451,A445:A451)</f>
        <v>333.8571428572759</v>
      </c>
      <c r="D452" s="14">
        <f>B452-C452</f>
        <v>2209.5714285699651</v>
      </c>
      <c r="E452" s="15">
        <f t="shared" si="25"/>
        <v>0.86873736239035304</v>
      </c>
      <c r="F452">
        <v>2026</v>
      </c>
      <c r="G452" s="20">
        <f>B451*(0.58)</f>
        <v>5719.3799999999992</v>
      </c>
      <c r="H452" s="20">
        <f>C451*(0.58)</f>
        <v>3262.5</v>
      </c>
      <c r="I452" s="20">
        <f>G452-H452</f>
        <v>2456.8799999999992</v>
      </c>
      <c r="J452" s="1">
        <f>I452/G452</f>
        <v>0.42957103742013986</v>
      </c>
    </row>
    <row r="453" spans="1:10" x14ac:dyDescent="0.3">
      <c r="A453" s="13">
        <v>2027</v>
      </c>
      <c r="B453" s="14">
        <f>_xlfn.FORECAST.LINEAR(A453,B445:B452,A445:A452)</f>
        <v>-2062.6071428582072</v>
      </c>
      <c r="C453" s="14">
        <f>_xlfn.FORECAST.LINEAR(A453,C445:C452,A445:A452)</f>
        <v>-2563.75</v>
      </c>
      <c r="D453" s="14">
        <f>B453-C453</f>
        <v>501.14285714179277</v>
      </c>
      <c r="E453" s="15">
        <f t="shared" si="25"/>
        <v>-0.24296573338117425</v>
      </c>
      <c r="F453">
        <v>2027</v>
      </c>
      <c r="G453" s="20">
        <f>G452*(0.38)</f>
        <v>2173.3643999999999</v>
      </c>
      <c r="H453" s="20">
        <f>H452*(0.38)</f>
        <v>1239.75</v>
      </c>
      <c r="I453" s="20">
        <f>G453-H453</f>
        <v>933.61439999999993</v>
      </c>
      <c r="J453" s="1">
        <f>I453/G453</f>
        <v>0.42957103742013991</v>
      </c>
    </row>
    <row r="454" spans="1:10" x14ac:dyDescent="0.3">
      <c r="A454" s="6" t="s">
        <v>47</v>
      </c>
      <c r="B454" s="7">
        <f>SUM(B455:B463)</f>
        <v>99329.142857143655</v>
      </c>
      <c r="C454" s="7">
        <f t="shared" ref="C454:D454" si="29">SUM(C455:C463)</f>
        <v>42005.571428571362</v>
      </c>
      <c r="D454" s="7">
        <f t="shared" si="29"/>
        <v>57323.571428572293</v>
      </c>
      <c r="E454" s="1">
        <f t="shared" si="25"/>
        <v>0.57710727969349063</v>
      </c>
    </row>
    <row r="455" spans="1:10" x14ac:dyDescent="0.3">
      <c r="A455">
        <v>2019</v>
      </c>
      <c r="B455" s="2">
        <v>7128</v>
      </c>
      <c r="C455" s="2">
        <v>3691</v>
      </c>
      <c r="D455" s="2">
        <v>3437</v>
      </c>
      <c r="E455" s="1">
        <f t="shared" si="25"/>
        <v>0.48218294051627386</v>
      </c>
      <c r="G455" s="72" t="s">
        <v>186</v>
      </c>
      <c r="H455" s="72"/>
      <c r="I455" s="72"/>
    </row>
    <row r="456" spans="1:10" x14ac:dyDescent="0.3">
      <c r="A456">
        <v>2020</v>
      </c>
      <c r="B456" s="2">
        <v>42567</v>
      </c>
      <c r="C456" s="2">
        <v>20906</v>
      </c>
      <c r="D456" s="2">
        <v>21661</v>
      </c>
      <c r="E456" s="1">
        <f t="shared" si="25"/>
        <v>0.50886837221321679</v>
      </c>
      <c r="G456" s="72"/>
      <c r="H456" s="72"/>
      <c r="I456" s="72"/>
    </row>
    <row r="457" spans="1:10" x14ac:dyDescent="0.3">
      <c r="A457">
        <v>2021</v>
      </c>
      <c r="B457" s="2">
        <v>12324</v>
      </c>
      <c r="C457" s="2">
        <v>5531</v>
      </c>
      <c r="D457" s="2">
        <v>6793</v>
      </c>
      <c r="E457" s="1">
        <f t="shared" si="25"/>
        <v>0.55120090879584549</v>
      </c>
      <c r="G457" s="72"/>
      <c r="H457" s="72"/>
      <c r="I457" s="72"/>
    </row>
    <row r="458" spans="1:10" x14ac:dyDescent="0.3">
      <c r="A458">
        <v>2022</v>
      </c>
      <c r="B458" s="2">
        <v>2282</v>
      </c>
      <c r="C458" s="2">
        <v>928</v>
      </c>
      <c r="D458" s="2">
        <v>1354</v>
      </c>
      <c r="E458" s="1">
        <f t="shared" si="25"/>
        <v>0.59333917616126208</v>
      </c>
      <c r="G458" s="72"/>
      <c r="H458" s="72"/>
      <c r="I458" s="72"/>
    </row>
    <row r="459" spans="1:10" x14ac:dyDescent="0.3">
      <c r="A459">
        <v>2023</v>
      </c>
      <c r="B459" s="2">
        <v>9644</v>
      </c>
      <c r="C459" s="2">
        <v>1608</v>
      </c>
      <c r="D459" s="2">
        <v>8036</v>
      </c>
      <c r="E459" s="1">
        <f t="shared" si="25"/>
        <v>0.83326420572376603</v>
      </c>
    </row>
    <row r="460" spans="1:10" x14ac:dyDescent="0.3">
      <c r="A460">
        <v>2024</v>
      </c>
      <c r="B460" s="2">
        <v>12091</v>
      </c>
      <c r="C460" s="2">
        <v>5072</v>
      </c>
      <c r="D460" s="2">
        <v>7019</v>
      </c>
      <c r="E460" s="1">
        <f t="shared" si="25"/>
        <v>0.58051443222231414</v>
      </c>
    </row>
    <row r="461" spans="1:10" x14ac:dyDescent="0.3">
      <c r="A461">
        <v>2025</v>
      </c>
      <c r="B461" s="2">
        <v>7128</v>
      </c>
      <c r="C461" s="2">
        <v>3772</v>
      </c>
      <c r="D461" s="2">
        <v>3356</v>
      </c>
      <c r="E461" s="1">
        <f t="shared" si="25"/>
        <v>0.47081930415263751</v>
      </c>
      <c r="G461" t="s">
        <v>133</v>
      </c>
      <c r="H461" t="s">
        <v>128</v>
      </c>
      <c r="I461" t="s">
        <v>134</v>
      </c>
      <c r="J461" t="s">
        <v>89</v>
      </c>
    </row>
    <row r="462" spans="1:10" x14ac:dyDescent="0.3">
      <c r="A462" s="13">
        <v>2026</v>
      </c>
      <c r="B462" s="14">
        <f>_xlfn.FORECAST.LINEAR(A462,B455:B461,A455:A461)</f>
        <v>4218.8571428572759</v>
      </c>
      <c r="C462" s="14">
        <f>_xlfn.FORECAST.LINEAR(A462,C455:C461,A455:A461)</f>
        <v>880</v>
      </c>
      <c r="D462" s="14">
        <f>B462-C462</f>
        <v>3338.8571428572759</v>
      </c>
      <c r="E462" s="15">
        <f t="shared" si="25"/>
        <v>0.79141270486252857</v>
      </c>
      <c r="F462">
        <v>2026</v>
      </c>
      <c r="G462" s="20">
        <f>B461*(0.79)</f>
        <v>5631.12</v>
      </c>
      <c r="H462" s="20">
        <f>C461*(0.79)</f>
        <v>2979.88</v>
      </c>
      <c r="I462" s="20">
        <f>G462-H462</f>
        <v>2651.24</v>
      </c>
      <c r="J462" s="1">
        <f>I462/G462</f>
        <v>0.47081930415263745</v>
      </c>
    </row>
    <row r="463" spans="1:10" x14ac:dyDescent="0.3">
      <c r="A463" s="13">
        <v>2027</v>
      </c>
      <c r="B463" s="14">
        <f>_xlfn.FORECAST.LINEAR(A463,B455:B462,A455:A462)</f>
        <v>1946.2857142863795</v>
      </c>
      <c r="C463" s="14">
        <f>_xlfn.FORECAST.LINEAR(A463,C455:C462,A455:A462)</f>
        <v>-382.42857142863795</v>
      </c>
      <c r="D463" s="14">
        <f>B463-C463</f>
        <v>2328.7142857150175</v>
      </c>
      <c r="E463" s="15">
        <f t="shared" si="25"/>
        <v>1.19649148561359</v>
      </c>
      <c r="F463">
        <v>2027</v>
      </c>
      <c r="G463" s="20">
        <f>G462*(0.59)</f>
        <v>3322.3607999999999</v>
      </c>
      <c r="H463" s="20">
        <f>H462*(0.59)</f>
        <v>1758.1292000000001</v>
      </c>
      <c r="I463" s="20">
        <f>G463-H463</f>
        <v>1564.2315999999998</v>
      </c>
      <c r="J463" s="1">
        <f>I463/G463</f>
        <v>0.47081930415263745</v>
      </c>
    </row>
    <row r="464" spans="1:10" x14ac:dyDescent="0.3">
      <c r="A464" s="6" t="s">
        <v>48</v>
      </c>
      <c r="B464" s="7">
        <f>SUM(B465:B468)</f>
        <v>80709.500000000233</v>
      </c>
      <c r="C464" s="7">
        <f t="shared" ref="C464:D464" si="30">SUM(C465:C468)</f>
        <v>6891.5000000000582</v>
      </c>
      <c r="D464" s="7">
        <f t="shared" si="30"/>
        <v>73818.000000000175</v>
      </c>
      <c r="E464" s="1">
        <f t="shared" si="25"/>
        <v>0.91461352133268026</v>
      </c>
    </row>
    <row r="465" spans="1:5" x14ac:dyDescent="0.3">
      <c r="A465">
        <v>2019</v>
      </c>
      <c r="B465" s="2">
        <v>15217</v>
      </c>
      <c r="C465" s="2">
        <v>1176</v>
      </c>
      <c r="D465" s="2">
        <v>14041</v>
      </c>
      <c r="E465" s="1">
        <f t="shared" si="25"/>
        <v>0.92271801274889931</v>
      </c>
    </row>
    <row r="466" spans="1:5" x14ac:dyDescent="0.3">
      <c r="A466">
        <v>2025</v>
      </c>
      <c r="B466" s="2">
        <v>20886</v>
      </c>
      <c r="C466" s="2">
        <v>1801</v>
      </c>
      <c r="D466" s="2">
        <v>19085</v>
      </c>
      <c r="E466" s="1">
        <f t="shared" si="25"/>
        <v>0.91376998946662835</v>
      </c>
    </row>
    <row r="467" spans="1:5" x14ac:dyDescent="0.3">
      <c r="A467">
        <v>2026</v>
      </c>
      <c r="B467" s="2">
        <f>_xlfn.FORECAST.LINEAR(A467,B465:B466,A465:A466)</f>
        <v>21830.833333333489</v>
      </c>
      <c r="C467" s="2">
        <f>_xlfn.FORECAST.LINEAR(A467,C465:C466,A465:A466)</f>
        <v>1905.1666666666861</v>
      </c>
      <c r="D467" s="2">
        <f>B467-C467</f>
        <v>19925.666666666802</v>
      </c>
      <c r="E467" s="1">
        <f t="shared" si="25"/>
        <v>0.91273046532045632</v>
      </c>
    </row>
    <row r="468" spans="1:5" x14ac:dyDescent="0.3">
      <c r="A468">
        <v>2027</v>
      </c>
      <c r="B468" s="2">
        <f>_xlfn.FORECAST.LINEAR(A468,B465:B467,A465:A467)</f>
        <v>22775.666666666744</v>
      </c>
      <c r="C468" s="2">
        <f>_xlfn.FORECAST.LINEAR(A468,C465:C467,A465:A467)</f>
        <v>2009.3333333333721</v>
      </c>
      <c r="D468" s="2">
        <f>B468-C468</f>
        <v>20766.333333333372</v>
      </c>
      <c r="E468" s="1">
        <f t="shared" si="25"/>
        <v>0.91177718910533034</v>
      </c>
    </row>
    <row r="469" spans="1:5" x14ac:dyDescent="0.3">
      <c r="A469" s="6" t="s">
        <v>49</v>
      </c>
      <c r="B469" s="7">
        <f>SUM(B470:B478)</f>
        <v>536343.75000000373</v>
      </c>
      <c r="C469" s="7">
        <f t="shared" ref="C469:D469" si="31">SUM(C470:C478)</f>
        <v>209324.89285714179</v>
      </c>
      <c r="D469" s="7">
        <f t="shared" si="31"/>
        <v>327018.85714286193</v>
      </c>
      <c r="E469" s="1">
        <f t="shared" si="25"/>
        <v>0.60971878043299588</v>
      </c>
    </row>
    <row r="470" spans="1:5" x14ac:dyDescent="0.3">
      <c r="A470">
        <v>2019</v>
      </c>
      <c r="B470" s="2">
        <v>91064</v>
      </c>
      <c r="C470" s="2">
        <v>36033</v>
      </c>
      <c r="D470" s="2">
        <v>55031</v>
      </c>
      <c r="E470" s="1">
        <f t="shared" si="25"/>
        <v>0.60431125362382498</v>
      </c>
    </row>
    <row r="471" spans="1:5" x14ac:dyDescent="0.3">
      <c r="A471">
        <v>2020</v>
      </c>
      <c r="B471" s="2">
        <v>102946</v>
      </c>
      <c r="C471" s="2">
        <v>41960</v>
      </c>
      <c r="D471" s="2">
        <v>60986</v>
      </c>
      <c r="E471" s="1">
        <f t="shared" si="25"/>
        <v>0.5924076700406038</v>
      </c>
    </row>
    <row r="472" spans="1:5" x14ac:dyDescent="0.3">
      <c r="A472">
        <v>2021</v>
      </c>
      <c r="B472" s="2">
        <v>101019</v>
      </c>
      <c r="C472" s="2">
        <v>45018</v>
      </c>
      <c r="D472" s="2">
        <v>56001</v>
      </c>
      <c r="E472" s="1">
        <f t="shared" si="25"/>
        <v>0.55436106079054437</v>
      </c>
    </row>
    <row r="473" spans="1:5" x14ac:dyDescent="0.3">
      <c r="A473">
        <v>2022</v>
      </c>
      <c r="B473" s="2">
        <v>69139</v>
      </c>
      <c r="C473" s="2">
        <v>21205</v>
      </c>
      <c r="D473" s="2">
        <v>47934</v>
      </c>
      <c r="E473" s="1">
        <f t="shared" si="25"/>
        <v>0.69329900634952779</v>
      </c>
    </row>
    <row r="474" spans="1:5" x14ac:dyDescent="0.3">
      <c r="A474">
        <v>2023</v>
      </c>
      <c r="B474" s="2">
        <v>55373</v>
      </c>
      <c r="C474" s="2">
        <v>21069</v>
      </c>
      <c r="D474" s="2">
        <v>34304</v>
      </c>
      <c r="E474" s="1">
        <f t="shared" si="25"/>
        <v>0.61950770230979002</v>
      </c>
    </row>
    <row r="475" spans="1:5" x14ac:dyDescent="0.3">
      <c r="A475">
        <v>2024</v>
      </c>
      <c r="B475" s="2">
        <v>56583</v>
      </c>
      <c r="C475" s="2">
        <v>25352</v>
      </c>
      <c r="D475" s="2">
        <v>31231</v>
      </c>
      <c r="E475" s="1">
        <f t="shared" si="25"/>
        <v>0.55195023240195817</v>
      </c>
    </row>
    <row r="476" spans="1:5" x14ac:dyDescent="0.3">
      <c r="A476">
        <v>2025</v>
      </c>
      <c r="B476" s="2">
        <v>25099</v>
      </c>
      <c r="C476" s="2">
        <v>7707</v>
      </c>
      <c r="D476" s="2">
        <v>17392</v>
      </c>
      <c r="E476" s="1">
        <f t="shared" si="25"/>
        <v>0.69293597354476277</v>
      </c>
    </row>
    <row r="477" spans="1:5" x14ac:dyDescent="0.3">
      <c r="A477">
        <v>2026</v>
      </c>
      <c r="B477" s="2">
        <f>_xlfn.FORECAST.LINEAR(A477,B470:B476,A470:A476)</f>
        <v>23565.142857145518</v>
      </c>
      <c r="C477" s="2">
        <f>_xlfn.FORECAST.LINEAR(A477,C470:C476,A470:A476)</f>
        <v>8028.7142857126892</v>
      </c>
      <c r="D477" s="2">
        <f>B477-C477</f>
        <v>15536.428571432829</v>
      </c>
      <c r="E477" s="1">
        <f t="shared" si="25"/>
        <v>0.65929702466122797</v>
      </c>
    </row>
    <row r="478" spans="1:5" x14ac:dyDescent="0.3">
      <c r="A478">
        <v>2027</v>
      </c>
      <c r="B478" s="2">
        <f>_xlfn.FORECAST.LINEAR(A478,B470:B477,A470:A477)</f>
        <v>11555.607142858207</v>
      </c>
      <c r="C478" s="2">
        <f>_xlfn.FORECAST.LINEAR(A478,C470:C477,A470:A477)</f>
        <v>2952.1785714291036</v>
      </c>
      <c r="D478" s="2">
        <f>B478-C478</f>
        <v>8603.4285714291036</v>
      </c>
      <c r="E478" s="1">
        <f t="shared" si="25"/>
        <v>0.74452414875892881</v>
      </c>
    </row>
    <row r="479" spans="1:5" x14ac:dyDescent="0.3">
      <c r="A479" s="6" t="s">
        <v>50</v>
      </c>
      <c r="B479" s="7">
        <f>SUM(B480:B488)</f>
        <v>274279.50000000186</v>
      </c>
      <c r="C479" s="7">
        <f t="shared" ref="C479:D479" si="32">SUM(C480:C488)</f>
        <v>139093.39285714272</v>
      </c>
      <c r="D479" s="7">
        <f t="shared" si="32"/>
        <v>135186.10714285914</v>
      </c>
      <c r="E479" s="1">
        <f t="shared" si="25"/>
        <v>0.49287718237366707</v>
      </c>
    </row>
    <row r="480" spans="1:5" x14ac:dyDescent="0.3">
      <c r="A480">
        <v>2019</v>
      </c>
      <c r="B480" s="2">
        <v>57309</v>
      </c>
      <c r="C480" s="2">
        <v>32308</v>
      </c>
      <c r="D480" s="2">
        <v>25001</v>
      </c>
      <c r="E480" s="1">
        <f t="shared" si="25"/>
        <v>0.43624910572510428</v>
      </c>
    </row>
    <row r="481" spans="1:5" x14ac:dyDescent="0.3">
      <c r="A481">
        <v>2020</v>
      </c>
      <c r="B481" s="2">
        <v>50698</v>
      </c>
      <c r="C481" s="2">
        <v>21201</v>
      </c>
      <c r="D481" s="2">
        <v>29497</v>
      </c>
      <c r="E481" s="1">
        <f t="shared" si="25"/>
        <v>0.58181782318829145</v>
      </c>
    </row>
    <row r="482" spans="1:5" x14ac:dyDescent="0.3">
      <c r="A482">
        <v>2021</v>
      </c>
      <c r="B482" s="2">
        <v>43183</v>
      </c>
      <c r="C482" s="2">
        <v>18703</v>
      </c>
      <c r="D482" s="2">
        <v>24480</v>
      </c>
      <c r="E482" s="1">
        <f t="shared" si="25"/>
        <v>0.56688974828057337</v>
      </c>
    </row>
    <row r="483" spans="1:5" x14ac:dyDescent="0.3">
      <c r="A483">
        <v>2022</v>
      </c>
      <c r="B483" s="2">
        <v>26971</v>
      </c>
      <c r="C483" s="2">
        <v>13338</v>
      </c>
      <c r="D483" s="2">
        <v>13633</v>
      </c>
      <c r="E483" s="1">
        <f t="shared" si="25"/>
        <v>0.50546883689889144</v>
      </c>
    </row>
    <row r="484" spans="1:5" x14ac:dyDescent="0.3">
      <c r="A484">
        <v>2023</v>
      </c>
      <c r="B484" s="2">
        <v>24032</v>
      </c>
      <c r="C484" s="2">
        <v>13622</v>
      </c>
      <c r="D484" s="2">
        <v>10410</v>
      </c>
      <c r="E484" s="1">
        <f t="shared" si="25"/>
        <v>0.43317243675099865</v>
      </c>
    </row>
    <row r="485" spans="1:5" x14ac:dyDescent="0.3">
      <c r="A485">
        <v>2024</v>
      </c>
      <c r="B485" s="2">
        <v>25948</v>
      </c>
      <c r="C485" s="2">
        <v>13635</v>
      </c>
      <c r="D485" s="2">
        <v>12313</v>
      </c>
      <c r="E485" s="1">
        <f t="shared" si="25"/>
        <v>0.47452597502697702</v>
      </c>
    </row>
    <row r="486" spans="1:5" x14ac:dyDescent="0.3">
      <c r="A486">
        <v>2025</v>
      </c>
      <c r="B486" s="2">
        <v>25904</v>
      </c>
      <c r="C486" s="2">
        <v>14092</v>
      </c>
      <c r="D486" s="2">
        <v>11812</v>
      </c>
      <c r="E486" s="1">
        <f t="shared" si="25"/>
        <v>0.45599135268684371</v>
      </c>
    </row>
    <row r="487" spans="1:5" x14ac:dyDescent="0.3">
      <c r="A487">
        <v>2026</v>
      </c>
      <c r="B487" s="2">
        <f>_xlfn.FORECAST.LINEAR(A487,B480:B486,A480:A486)</f>
        <v>13025.571428572759</v>
      </c>
      <c r="C487" s="2">
        <f>_xlfn.FORECAST.LINEAR(A487,C480:C486,A480:A486)</f>
        <v>7434</v>
      </c>
      <c r="D487" s="2">
        <f>B487-C487</f>
        <v>5591.571428572759</v>
      </c>
      <c r="E487" s="1">
        <f t="shared" si="25"/>
        <v>0.4292764781364713</v>
      </c>
    </row>
    <row r="488" spans="1:5" x14ac:dyDescent="0.3">
      <c r="A488">
        <v>2027</v>
      </c>
      <c r="B488" s="2">
        <f>_xlfn.FORECAST.LINEAR(A488,B480:B487,A480:A487)</f>
        <v>7208.9285714291036</v>
      </c>
      <c r="C488" s="2">
        <f>_xlfn.FORECAST.LINEAR(A488,C480:C487,A480:A487)</f>
        <v>4760.3928571427241</v>
      </c>
      <c r="D488" s="2">
        <f>B488-C488</f>
        <v>2448.5357142863795</v>
      </c>
      <c r="E488" s="1">
        <f t="shared" si="25"/>
        <v>0.33965320782766195</v>
      </c>
    </row>
    <row r="489" spans="1:5" x14ac:dyDescent="0.3">
      <c r="A489" s="6" t="s">
        <v>51</v>
      </c>
      <c r="B489" s="7">
        <f>SUM(B490:B498)</f>
        <v>537485.78571429104</v>
      </c>
      <c r="C489" s="7">
        <f t="shared" ref="C489:D489" si="33">SUM(C490:C498)</f>
        <v>218823.75000000093</v>
      </c>
      <c r="D489" s="7">
        <f t="shared" si="33"/>
        <v>318662.0357142901</v>
      </c>
      <c r="E489" s="1">
        <f t="shared" si="25"/>
        <v>0.5928752800240189</v>
      </c>
    </row>
    <row r="490" spans="1:5" x14ac:dyDescent="0.3">
      <c r="A490">
        <v>2019</v>
      </c>
      <c r="B490" s="2">
        <v>88138</v>
      </c>
      <c r="C490" s="2">
        <v>39194</v>
      </c>
      <c r="D490" s="2">
        <v>48944</v>
      </c>
      <c r="E490" s="1">
        <f t="shared" si="25"/>
        <v>0.55531098958451519</v>
      </c>
    </row>
    <row r="491" spans="1:5" x14ac:dyDescent="0.3">
      <c r="A491">
        <v>2020</v>
      </c>
      <c r="B491" s="2">
        <v>101679</v>
      </c>
      <c r="C491" s="2">
        <v>35514</v>
      </c>
      <c r="D491" s="2">
        <v>66165</v>
      </c>
      <c r="E491" s="1">
        <f t="shared" si="25"/>
        <v>0.65072433835895316</v>
      </c>
    </row>
    <row r="492" spans="1:5" x14ac:dyDescent="0.3">
      <c r="A492">
        <v>2021</v>
      </c>
      <c r="B492" s="2">
        <v>105010</v>
      </c>
      <c r="C492" s="2">
        <v>38309</v>
      </c>
      <c r="D492" s="2">
        <v>66701</v>
      </c>
      <c r="E492" s="1">
        <f t="shared" si="25"/>
        <v>0.63518712503571084</v>
      </c>
    </row>
    <row r="493" spans="1:5" x14ac:dyDescent="0.3">
      <c r="A493">
        <v>2022</v>
      </c>
      <c r="B493" s="2">
        <v>47353</v>
      </c>
      <c r="C493" s="2">
        <v>16047</v>
      </c>
      <c r="D493" s="2">
        <v>31306</v>
      </c>
      <c r="E493" s="1">
        <f t="shared" si="25"/>
        <v>0.66111967562773211</v>
      </c>
    </row>
    <row r="494" spans="1:5" x14ac:dyDescent="0.3">
      <c r="A494">
        <v>2023</v>
      </c>
      <c r="B494" s="2">
        <v>46912</v>
      </c>
      <c r="C494" s="2">
        <v>17905</v>
      </c>
      <c r="D494" s="2">
        <v>29007</v>
      </c>
      <c r="E494" s="1">
        <f t="shared" ref="E494:E578" si="34">D494/B494</f>
        <v>0.61832793315143242</v>
      </c>
    </row>
    <row r="495" spans="1:5" x14ac:dyDescent="0.3">
      <c r="A495">
        <v>2024</v>
      </c>
      <c r="B495" s="2">
        <v>50592</v>
      </c>
      <c r="C495" s="2">
        <v>21589</v>
      </c>
      <c r="D495" s="2">
        <v>29003</v>
      </c>
      <c r="E495" s="1">
        <f t="shared" si="34"/>
        <v>0.57327245414294747</v>
      </c>
    </row>
    <row r="496" spans="1:5" x14ac:dyDescent="0.3">
      <c r="A496">
        <v>2025</v>
      </c>
      <c r="B496" s="2">
        <v>48304</v>
      </c>
      <c r="C496" s="2">
        <v>24627</v>
      </c>
      <c r="D496" s="2">
        <v>23677</v>
      </c>
      <c r="E496" s="1">
        <f t="shared" si="34"/>
        <v>0.49016644584299435</v>
      </c>
    </row>
    <row r="497" spans="1:5" x14ac:dyDescent="0.3">
      <c r="A497">
        <v>2026</v>
      </c>
      <c r="B497" s="2">
        <f>_xlfn.FORECAST.LINEAR(A497,B490:B496,A490:A496)</f>
        <v>29744.857142858207</v>
      </c>
      <c r="C497" s="2">
        <f>_xlfn.FORECAST.LINEAR(A497,C490:C496,A490:A496)</f>
        <v>14461.428571429104</v>
      </c>
      <c r="D497" s="2">
        <f>B497-C497</f>
        <v>15283.428571429104</v>
      </c>
      <c r="E497" s="1">
        <f t="shared" si="34"/>
        <v>0.51381751467240389</v>
      </c>
    </row>
    <row r="498" spans="1:5" x14ac:dyDescent="0.3">
      <c r="A498">
        <v>2027</v>
      </c>
      <c r="B498" s="2">
        <f>_xlfn.FORECAST.LINEAR(A498,B490:B497,A490:A497)</f>
        <v>19752.928571432829</v>
      </c>
      <c r="C498" s="2">
        <f>_xlfn.FORECAST.LINEAR(A498,C490:C497,A490:A497)</f>
        <v>11177.321428571828</v>
      </c>
      <c r="D498" s="2">
        <f>B498-C498</f>
        <v>8575.6071428610012</v>
      </c>
      <c r="E498" s="1">
        <f t="shared" si="34"/>
        <v>0.43414358087960969</v>
      </c>
    </row>
    <row r="499" spans="1:5" x14ac:dyDescent="0.3">
      <c r="A499" s="6" t="s">
        <v>52</v>
      </c>
      <c r="B499" s="7">
        <f>SUM(B500:B507)</f>
        <v>25466.28571428571</v>
      </c>
      <c r="C499" s="7">
        <f t="shared" ref="C499:D499" si="35">SUM(C500:C507)</f>
        <v>9456.2857142857392</v>
      </c>
      <c r="D499" s="7">
        <f t="shared" si="35"/>
        <v>16009.999999999971</v>
      </c>
      <c r="E499" s="1">
        <f t="shared" si="34"/>
        <v>0.62867432571915705</v>
      </c>
    </row>
    <row r="500" spans="1:5" x14ac:dyDescent="0.3">
      <c r="A500">
        <v>2019</v>
      </c>
      <c r="B500" s="2">
        <v>4394</v>
      </c>
      <c r="C500" s="2">
        <v>2392</v>
      </c>
      <c r="D500" s="2">
        <v>2002</v>
      </c>
      <c r="E500" s="1">
        <f t="shared" si="34"/>
        <v>0.45562130177514792</v>
      </c>
    </row>
    <row r="501" spans="1:5" x14ac:dyDescent="0.3">
      <c r="A501">
        <v>2021</v>
      </c>
      <c r="B501" s="2">
        <v>2554</v>
      </c>
      <c r="C501" s="2">
        <v>510</v>
      </c>
      <c r="D501" s="2">
        <v>2044</v>
      </c>
      <c r="E501" s="1">
        <f t="shared" si="34"/>
        <v>0.80031323414252153</v>
      </c>
    </row>
    <row r="502" spans="1:5" x14ac:dyDescent="0.3">
      <c r="A502">
        <v>2022</v>
      </c>
      <c r="B502" s="2">
        <v>2960</v>
      </c>
      <c r="C502" s="2">
        <v>818</v>
      </c>
      <c r="D502" s="2">
        <v>2142</v>
      </c>
      <c r="E502" s="1">
        <f t="shared" si="34"/>
        <v>0.72364864864864864</v>
      </c>
    </row>
    <row r="503" spans="1:5" x14ac:dyDescent="0.3">
      <c r="A503">
        <v>2023</v>
      </c>
      <c r="B503" s="2">
        <v>2977</v>
      </c>
      <c r="C503" s="2">
        <v>1042</v>
      </c>
      <c r="D503" s="2">
        <v>1935</v>
      </c>
      <c r="E503" s="1">
        <f t="shared" si="34"/>
        <v>0.64998320456835745</v>
      </c>
    </row>
    <row r="504" spans="1:5" x14ac:dyDescent="0.3">
      <c r="A504">
        <v>2024</v>
      </c>
      <c r="B504" s="2">
        <v>3162</v>
      </c>
      <c r="C504" s="2">
        <v>1066</v>
      </c>
      <c r="D504" s="2">
        <v>2096</v>
      </c>
      <c r="E504" s="1">
        <f t="shared" si="34"/>
        <v>0.6628716002530044</v>
      </c>
    </row>
    <row r="505" spans="1:5" x14ac:dyDescent="0.3">
      <c r="A505">
        <v>2025</v>
      </c>
      <c r="B505" s="2">
        <v>3622</v>
      </c>
      <c r="C505" s="2">
        <v>1746</v>
      </c>
      <c r="D505" s="2">
        <v>1876</v>
      </c>
      <c r="E505" s="1">
        <f t="shared" si="34"/>
        <v>0.51794588625069027</v>
      </c>
    </row>
    <row r="506" spans="1:5" x14ac:dyDescent="0.3">
      <c r="A506">
        <v>2026</v>
      </c>
      <c r="B506" s="2">
        <f>_xlfn.FORECAST.LINEAR(A506,B500:B505,A500:A505)</f>
        <v>2944.1857142857043</v>
      </c>
      <c r="C506" s="2">
        <f>_xlfn.FORECAST.LINEAR(A506,C500:C505,A500:A505)</f>
        <v>979.68571428573341</v>
      </c>
      <c r="D506" s="2">
        <f>B506-C506</f>
        <v>1964.4999999999709</v>
      </c>
      <c r="E506" s="1">
        <f t="shared" si="34"/>
        <v>0.66724731068012222</v>
      </c>
    </row>
    <row r="507" spans="1:5" x14ac:dyDescent="0.3">
      <c r="A507">
        <v>2027</v>
      </c>
      <c r="B507" s="2">
        <f>_xlfn.FORECAST.LINEAR(A507,B500:B506,A500:A506)</f>
        <v>2853.1000000000058</v>
      </c>
      <c r="C507" s="2">
        <f>_xlfn.FORECAST.LINEAR(A507,C500:C506,A500:A506)</f>
        <v>902.60000000000582</v>
      </c>
      <c r="D507" s="2">
        <f>B507-C507</f>
        <v>1950.5</v>
      </c>
      <c r="E507" s="1">
        <f t="shared" si="34"/>
        <v>0.68364235393081074</v>
      </c>
    </row>
    <row r="508" spans="1:5" x14ac:dyDescent="0.3">
      <c r="A508" s="13" t="s">
        <v>53</v>
      </c>
      <c r="B508" s="7">
        <f>SUM(B509:B516)</f>
        <v>87347.602484472096</v>
      </c>
      <c r="C508" s="7">
        <f t="shared" ref="C508:D508" si="36">SUM(C509:C516)</f>
        <v>29666.757763974834</v>
      </c>
      <c r="D508" s="7">
        <f t="shared" si="36"/>
        <v>57680.844720497262</v>
      </c>
      <c r="E508" s="1">
        <f t="shared" si="34"/>
        <v>0.66035979328398009</v>
      </c>
    </row>
    <row r="509" spans="1:5" x14ac:dyDescent="0.3">
      <c r="A509">
        <v>2019</v>
      </c>
      <c r="B509" s="2">
        <v>0</v>
      </c>
      <c r="C509" s="2">
        <v>130</v>
      </c>
      <c r="D509" s="2">
        <v>-130</v>
      </c>
      <c r="E509" s="1" t="e">
        <f t="shared" si="34"/>
        <v>#DIV/0!</v>
      </c>
    </row>
    <row r="510" spans="1:5" x14ac:dyDescent="0.3">
      <c r="A510">
        <v>2020</v>
      </c>
      <c r="B510" s="2">
        <v>5840</v>
      </c>
      <c r="C510" s="2">
        <v>1491</v>
      </c>
      <c r="D510" s="2">
        <v>4349</v>
      </c>
      <c r="E510" s="1">
        <f t="shared" si="34"/>
        <v>0.74469178082191778</v>
      </c>
    </row>
    <row r="511" spans="1:5" x14ac:dyDescent="0.3">
      <c r="A511">
        <v>2022</v>
      </c>
      <c r="B511" s="2">
        <v>10898</v>
      </c>
      <c r="C511" s="2">
        <v>3398</v>
      </c>
      <c r="D511" s="2">
        <v>7500</v>
      </c>
      <c r="E511" s="1">
        <f t="shared" si="34"/>
        <v>0.68819966966415858</v>
      </c>
    </row>
    <row r="512" spans="1:5" x14ac:dyDescent="0.3">
      <c r="A512">
        <v>2023</v>
      </c>
      <c r="B512" s="2">
        <v>8936</v>
      </c>
      <c r="C512" s="2">
        <v>2109</v>
      </c>
      <c r="D512" s="2">
        <v>6827</v>
      </c>
      <c r="E512" s="1">
        <f t="shared" si="34"/>
        <v>0.76398836168307971</v>
      </c>
    </row>
    <row r="513" spans="1:10" x14ac:dyDescent="0.3">
      <c r="A513">
        <v>2024</v>
      </c>
      <c r="B513" s="2">
        <v>11862</v>
      </c>
      <c r="C513" s="2">
        <v>4083</v>
      </c>
      <c r="D513" s="2">
        <v>7779</v>
      </c>
      <c r="E513" s="1">
        <f t="shared" si="34"/>
        <v>0.65579160343955489</v>
      </c>
    </row>
    <row r="514" spans="1:10" x14ac:dyDescent="0.3">
      <c r="A514">
        <v>2025</v>
      </c>
      <c r="B514" s="2">
        <v>14474</v>
      </c>
      <c r="C514" s="2">
        <v>5823</v>
      </c>
      <c r="D514" s="2">
        <v>8651</v>
      </c>
      <c r="E514" s="1">
        <f t="shared" si="34"/>
        <v>0.59769241398369488</v>
      </c>
    </row>
    <row r="515" spans="1:10" x14ac:dyDescent="0.3">
      <c r="A515">
        <v>2026</v>
      </c>
      <c r="B515" s="2">
        <f>_xlfn.FORECAST.LINEAR(A515,B509:B514,A509:A514)</f>
        <v>16630.285714285914</v>
      </c>
      <c r="C515" s="2">
        <f>_xlfn.FORECAST.LINEAR(A515,C509:C514,A509:A514)</f>
        <v>5915.1428571427241</v>
      </c>
      <c r="D515" s="2">
        <f>B515-C515</f>
        <v>10715.14285714319</v>
      </c>
      <c r="E515" s="1">
        <f t="shared" si="34"/>
        <v>0.64431501907021127</v>
      </c>
    </row>
    <row r="516" spans="1:10" x14ac:dyDescent="0.3">
      <c r="A516">
        <v>2027</v>
      </c>
      <c r="B516" s="2">
        <f>_xlfn.FORECAST.LINEAR(A516,B509:B515,A509:A515)</f>
        <v>18707.316770186182</v>
      </c>
      <c r="C516" s="2">
        <f>_xlfn.FORECAST.LINEAR(A516,C509:C515,A509:A515)</f>
        <v>6717.6149068321101</v>
      </c>
      <c r="D516" s="2">
        <f>B516-C516</f>
        <v>11989.701863354072</v>
      </c>
      <c r="E516" s="1">
        <f t="shared" si="34"/>
        <v>0.64090975796497118</v>
      </c>
    </row>
    <row r="517" spans="1:10" ht="14.4" customHeight="1" x14ac:dyDescent="0.3">
      <c r="A517" s="13" t="s">
        <v>93</v>
      </c>
      <c r="B517" s="7">
        <v>24046</v>
      </c>
      <c r="C517" s="7">
        <v>638</v>
      </c>
      <c r="D517" s="7">
        <v>23408</v>
      </c>
      <c r="E517" s="1">
        <f t="shared" si="34"/>
        <v>0.97346752058554442</v>
      </c>
      <c r="G517" s="68" t="s">
        <v>184</v>
      </c>
      <c r="H517" s="68"/>
      <c r="I517" s="68"/>
      <c r="J517" s="68"/>
    </row>
    <row r="518" spans="1:10" x14ac:dyDescent="0.3">
      <c r="A518">
        <v>2025</v>
      </c>
      <c r="B518" s="2">
        <v>24046</v>
      </c>
      <c r="C518" s="2">
        <v>638</v>
      </c>
      <c r="D518" s="2">
        <v>23408</v>
      </c>
      <c r="E518" s="1">
        <f t="shared" si="34"/>
        <v>0.97346752058554442</v>
      </c>
      <c r="G518" s="68"/>
      <c r="H518" s="68"/>
      <c r="I518" s="68"/>
      <c r="J518" s="68"/>
    </row>
    <row r="519" spans="1:10" x14ac:dyDescent="0.3">
      <c r="A519">
        <v>2026</v>
      </c>
      <c r="B519" s="2">
        <f>B518*(0.79)</f>
        <v>18996.34</v>
      </c>
      <c r="C519" s="2">
        <f>C518*(0.79)</f>
        <v>504.02000000000004</v>
      </c>
      <c r="D519" s="2">
        <f>B519-C519</f>
        <v>18492.32</v>
      </c>
      <c r="E519" s="1">
        <f>D519/B519</f>
        <v>0.97346752058554431</v>
      </c>
      <c r="G519" s="68"/>
      <c r="H519" s="68"/>
      <c r="I519" s="68"/>
      <c r="J519" s="68"/>
    </row>
    <row r="520" spans="1:10" x14ac:dyDescent="0.3">
      <c r="A520">
        <v>2027</v>
      </c>
      <c r="B520" s="2">
        <f>B519*(0.59)</f>
        <v>11207.8406</v>
      </c>
      <c r="C520" s="2">
        <f>C519*(0.59)</f>
        <v>297.37180000000001</v>
      </c>
      <c r="D520" s="2">
        <f>B520-C520</f>
        <v>10910.468799999999</v>
      </c>
      <c r="E520" s="1">
        <f>D520/B520</f>
        <v>0.97346752058554431</v>
      </c>
      <c r="G520" s="19"/>
      <c r="H520" s="19"/>
      <c r="I520" s="19"/>
      <c r="J520" s="19"/>
    </row>
    <row r="521" spans="1:10" x14ac:dyDescent="0.3">
      <c r="A521" s="13" t="s">
        <v>54</v>
      </c>
      <c r="B521" s="7">
        <f>SUM(B522:B528)</f>
        <v>65285.113207546994</v>
      </c>
      <c r="C521" s="7">
        <f t="shared" ref="C521:D521" si="37">SUM(C522:C528)</f>
        <v>14182.047169811325</v>
      </c>
      <c r="D521" s="7">
        <f t="shared" si="37"/>
        <v>51103.066037735669</v>
      </c>
      <c r="E521" s="1">
        <f t="shared" si="34"/>
        <v>0.78276751815187362</v>
      </c>
      <c r="G521" s="19"/>
      <c r="H521" s="19"/>
      <c r="I521" s="19"/>
      <c r="J521" s="19"/>
    </row>
    <row r="522" spans="1:10" x14ac:dyDescent="0.3">
      <c r="A522">
        <v>2019</v>
      </c>
      <c r="B522" s="2">
        <v>0</v>
      </c>
      <c r="C522" s="2">
        <v>25</v>
      </c>
      <c r="D522" s="2">
        <v>-25</v>
      </c>
      <c r="E522" s="1" t="e">
        <f t="shared" si="34"/>
        <v>#DIV/0!</v>
      </c>
      <c r="G522" s="19"/>
      <c r="H522" s="19"/>
      <c r="I522" s="19"/>
      <c r="J522" s="19"/>
    </row>
    <row r="523" spans="1:10" x14ac:dyDescent="0.3">
      <c r="A523">
        <v>2022</v>
      </c>
      <c r="B523" s="2">
        <v>18829</v>
      </c>
      <c r="C523" s="2">
        <v>5646</v>
      </c>
      <c r="D523" s="2">
        <v>13183</v>
      </c>
      <c r="E523" s="1">
        <f t="shared" si="34"/>
        <v>0.70014339582558816</v>
      </c>
    </row>
    <row r="524" spans="1:10" x14ac:dyDescent="0.3">
      <c r="A524">
        <v>2023</v>
      </c>
      <c r="B524" s="2">
        <v>12047</v>
      </c>
      <c r="C524" s="2">
        <v>890</v>
      </c>
      <c r="D524" s="2">
        <v>11157</v>
      </c>
      <c r="E524" s="1">
        <f t="shared" si="34"/>
        <v>0.92612268614592841</v>
      </c>
    </row>
    <row r="525" spans="1:10" x14ac:dyDescent="0.3">
      <c r="A525">
        <v>2024</v>
      </c>
      <c r="B525" s="2">
        <v>12763</v>
      </c>
      <c r="C525" s="2">
        <v>3179</v>
      </c>
      <c r="D525" s="2">
        <v>9584</v>
      </c>
      <c r="E525" s="1">
        <f t="shared" si="34"/>
        <v>0.75092062994593745</v>
      </c>
    </row>
    <row r="526" spans="1:10" x14ac:dyDescent="0.3">
      <c r="A526">
        <v>2025</v>
      </c>
      <c r="B526" s="2">
        <v>0</v>
      </c>
      <c r="C526" s="2">
        <v>25</v>
      </c>
      <c r="D526" s="2">
        <v>-25</v>
      </c>
      <c r="E526" s="1" t="e">
        <f t="shared" si="34"/>
        <v>#DIV/0!</v>
      </c>
    </row>
    <row r="527" spans="1:10" x14ac:dyDescent="0.3">
      <c r="A527">
        <v>2026</v>
      </c>
      <c r="B527" s="2">
        <f>_xlfn.FORECAST.LINEAR(A527,B522:B526,A522:A526)</f>
        <v>10554.433962264098</v>
      </c>
      <c r="C527" s="2">
        <f>_xlfn.FORECAST.LINEAR(A527,C522:C526,A522:A526)</f>
        <v>2175.7641509434034</v>
      </c>
      <c r="D527" s="2">
        <f>B527-C527</f>
        <v>8378.6698113206949</v>
      </c>
      <c r="E527" s="1">
        <f t="shared" si="34"/>
        <v>0.79385307078309042</v>
      </c>
    </row>
    <row r="528" spans="1:10" x14ac:dyDescent="0.3">
      <c r="A528">
        <v>2027</v>
      </c>
      <c r="B528" s="2">
        <f>_xlfn.FORECAST.LINEAR(A528,B522:B527,A522:A527)</f>
        <v>11091.679245282896</v>
      </c>
      <c r="C528" s="2">
        <f>_xlfn.FORECAST.LINEAR(A528,C522:C527,A522:A527)</f>
        <v>2241.2830188679218</v>
      </c>
      <c r="D528" s="2">
        <f>B528-C528</f>
        <v>8850.3962264149741</v>
      </c>
      <c r="E528" s="1">
        <f t="shared" si="34"/>
        <v>0.79793113654804781</v>
      </c>
    </row>
    <row r="529" spans="1:5" x14ac:dyDescent="0.3">
      <c r="A529" s="6" t="s">
        <v>55</v>
      </c>
      <c r="B529" s="7">
        <f>SUM(B530:B536)</f>
        <v>70887.235849055927</v>
      </c>
      <c r="C529" s="7">
        <f t="shared" ref="C529:D529" si="38">SUM(C530:C536)</f>
        <v>16408.471698113251</v>
      </c>
      <c r="D529" s="7">
        <f t="shared" si="38"/>
        <v>54478.764150942676</v>
      </c>
      <c r="E529" s="1">
        <f t="shared" si="34"/>
        <v>0.76852713324789945</v>
      </c>
    </row>
    <row r="530" spans="1:5" x14ac:dyDescent="0.3">
      <c r="A530">
        <v>2019</v>
      </c>
      <c r="B530" s="2">
        <v>0</v>
      </c>
      <c r="C530" s="2">
        <v>34</v>
      </c>
      <c r="D530" s="2">
        <v>-34</v>
      </c>
      <c r="E530" s="1" t="e">
        <f t="shared" si="34"/>
        <v>#DIV/0!</v>
      </c>
    </row>
    <row r="531" spans="1:5" x14ac:dyDescent="0.3">
      <c r="A531">
        <v>2022</v>
      </c>
      <c r="B531" s="2">
        <v>8566</v>
      </c>
      <c r="C531" s="2">
        <v>730</v>
      </c>
      <c r="D531" s="2">
        <v>7836</v>
      </c>
      <c r="E531" s="1">
        <f t="shared" si="34"/>
        <v>0.91477936026149897</v>
      </c>
    </row>
    <row r="532" spans="1:5" x14ac:dyDescent="0.3">
      <c r="A532">
        <v>2023</v>
      </c>
      <c r="B532" s="2">
        <v>8206</v>
      </c>
      <c r="C532" s="2">
        <v>975</v>
      </c>
      <c r="D532" s="2">
        <v>7231</v>
      </c>
      <c r="E532" s="1">
        <f t="shared" si="34"/>
        <v>0.88118449914696562</v>
      </c>
    </row>
    <row r="533" spans="1:5" x14ac:dyDescent="0.3">
      <c r="A533">
        <v>2024</v>
      </c>
      <c r="B533" s="2">
        <v>12633</v>
      </c>
      <c r="C533" s="2">
        <v>3312</v>
      </c>
      <c r="D533" s="2">
        <v>9321</v>
      </c>
      <c r="E533" s="1">
        <f t="shared" si="34"/>
        <v>0.73782949418190458</v>
      </c>
    </row>
    <row r="534" spans="1:5" x14ac:dyDescent="0.3">
      <c r="A534">
        <v>2025</v>
      </c>
      <c r="B534" s="2">
        <v>10467</v>
      </c>
      <c r="C534" s="2">
        <v>3370</v>
      </c>
      <c r="D534" s="2">
        <v>7097</v>
      </c>
      <c r="E534" s="1">
        <f t="shared" si="34"/>
        <v>0.67803573134613548</v>
      </c>
    </row>
    <row r="535" spans="1:5" x14ac:dyDescent="0.3">
      <c r="A535">
        <v>2026</v>
      </c>
      <c r="B535" s="2">
        <f>_xlfn.FORECAST.LINEAR(A535,B530:B534,A530:A534)</f>
        <v>14541.820754716638</v>
      </c>
      <c r="C535" s="2">
        <f>_xlfn.FORECAST.LINEAR(A535,C530:C534,A530:A534)</f>
        <v>3697.6415094339754</v>
      </c>
      <c r="D535" s="2">
        <f>B535-C535</f>
        <v>10844.179245282663</v>
      </c>
      <c r="E535" s="1">
        <f t="shared" si="34"/>
        <v>0.7457236221100686</v>
      </c>
    </row>
    <row r="536" spans="1:5" x14ac:dyDescent="0.3">
      <c r="A536">
        <v>2027</v>
      </c>
      <c r="B536" s="2">
        <f>_xlfn.FORECAST.LINEAR(A536,B530:B535,A530:A535)</f>
        <v>16473.415094339289</v>
      </c>
      <c r="C536" s="2">
        <f>_xlfn.FORECAST.LINEAR(A536,C530:C535,A530:A535)</f>
        <v>4289.830188679276</v>
      </c>
      <c r="D536" s="2">
        <f>B536-C536</f>
        <v>12183.584905660013</v>
      </c>
      <c r="E536" s="1">
        <f t="shared" si="34"/>
        <v>0.7395907184932542</v>
      </c>
    </row>
    <row r="537" spans="1:5" x14ac:dyDescent="0.3">
      <c r="A537" s="6" t="s">
        <v>56</v>
      </c>
      <c r="B537" s="7">
        <f>SUM(B538:B546)</f>
        <v>29060.03571428638</v>
      </c>
      <c r="C537" s="7">
        <f>SUM(C538:C546)</f>
        <v>14683.821428571129</v>
      </c>
      <c r="D537" s="7">
        <f>SUM(D538:D546)</f>
        <v>14376.21428571525</v>
      </c>
      <c r="E537" s="1">
        <f t="shared" si="34"/>
        <v>0.49470738532670394</v>
      </c>
    </row>
    <row r="538" spans="1:5" x14ac:dyDescent="0.3">
      <c r="A538">
        <v>2019</v>
      </c>
      <c r="B538" s="2">
        <v>8624</v>
      </c>
      <c r="C538" s="2">
        <v>4175</v>
      </c>
      <c r="D538" s="2">
        <v>4449</v>
      </c>
      <c r="E538" s="1">
        <f t="shared" si="34"/>
        <v>0.51588589981447119</v>
      </c>
    </row>
    <row r="539" spans="1:5" x14ac:dyDescent="0.3">
      <c r="A539">
        <v>2020</v>
      </c>
      <c r="B539" s="2">
        <v>4912</v>
      </c>
      <c r="C539" s="2">
        <v>3013</v>
      </c>
      <c r="D539" s="2">
        <v>1899</v>
      </c>
      <c r="E539" s="1">
        <f t="shared" si="34"/>
        <v>0.38660423452768727</v>
      </c>
    </row>
    <row r="540" spans="1:5" x14ac:dyDescent="0.3">
      <c r="A540">
        <v>2021</v>
      </c>
      <c r="B540" s="2">
        <v>12243</v>
      </c>
      <c r="C540" s="2">
        <v>6269</v>
      </c>
      <c r="D540" s="2">
        <v>5974</v>
      </c>
      <c r="E540" s="1">
        <f t="shared" si="34"/>
        <v>0.487952299273054</v>
      </c>
    </row>
    <row r="541" spans="1:5" x14ac:dyDescent="0.3">
      <c r="A541">
        <v>2022</v>
      </c>
      <c r="B541" s="2">
        <v>0</v>
      </c>
      <c r="C541" s="2">
        <v>75</v>
      </c>
      <c r="D541" s="2">
        <v>-75</v>
      </c>
      <c r="E541" s="1" t="e">
        <f t="shared" si="34"/>
        <v>#DIV/0!</v>
      </c>
    </row>
    <row r="542" spans="1:5" x14ac:dyDescent="0.3">
      <c r="A542">
        <v>2023</v>
      </c>
      <c r="B542" s="2">
        <v>0</v>
      </c>
      <c r="C542" s="2">
        <v>9</v>
      </c>
      <c r="D542" s="2">
        <v>-9</v>
      </c>
      <c r="E542" s="1" t="e">
        <f t="shared" si="34"/>
        <v>#DIV/0!</v>
      </c>
    </row>
    <row r="543" spans="1:5" x14ac:dyDescent="0.3">
      <c r="A543">
        <v>2024</v>
      </c>
      <c r="B543" s="2">
        <v>5872</v>
      </c>
      <c r="C543" s="2">
        <v>2689</v>
      </c>
      <c r="D543" s="2">
        <v>3183</v>
      </c>
      <c r="E543" s="1">
        <f t="shared" si="34"/>
        <v>0.54206403269754766</v>
      </c>
    </row>
    <row r="544" spans="1:5" x14ac:dyDescent="0.3">
      <c r="A544">
        <v>2025</v>
      </c>
      <c r="B544" s="2">
        <v>0</v>
      </c>
      <c r="C544" s="2">
        <v>28</v>
      </c>
      <c r="D544" s="2">
        <v>-28</v>
      </c>
      <c r="E544" s="1" t="e">
        <f t="shared" si="34"/>
        <v>#DIV/0!</v>
      </c>
    </row>
    <row r="545" spans="1:5" x14ac:dyDescent="0.3">
      <c r="A545">
        <v>2026</v>
      </c>
      <c r="B545" s="2">
        <f>_xlfn.FORECAST.LINEAR(A545,B538:B544,A538:A544)</f>
        <v>-649.1428571427241</v>
      </c>
      <c r="C545" s="2">
        <f>_xlfn.FORECAST.LINEAR(A545,C538:C544,A538:A544)</f>
        <v>-441.57142857159488</v>
      </c>
      <c r="D545" s="2">
        <f>B545-C545</f>
        <v>-207.57142857112922</v>
      </c>
      <c r="E545" s="1">
        <f t="shared" si="34"/>
        <v>0.31976232394326637</v>
      </c>
    </row>
    <row r="546" spans="1:5" x14ac:dyDescent="0.3">
      <c r="A546">
        <v>2027</v>
      </c>
      <c r="B546" s="2">
        <f>_xlfn.FORECAST.LINEAR(A546,B538:B545,A538:A545)</f>
        <v>-1941.8214285708964</v>
      </c>
      <c r="C546" s="2">
        <f>_xlfn.FORECAST.LINEAR(A546,C538:C545,A538:A545)</f>
        <v>-1132.6071428572759</v>
      </c>
      <c r="D546" s="2">
        <f>B546-C546</f>
        <v>-809.21428571362048</v>
      </c>
      <c r="E546" s="1">
        <f t="shared" si="34"/>
        <v>0.41672950653818364</v>
      </c>
    </row>
    <row r="547" spans="1:5" x14ac:dyDescent="0.3">
      <c r="A547" s="6" t="s">
        <v>83</v>
      </c>
      <c r="B547" s="7">
        <v>0</v>
      </c>
      <c r="C547" s="7">
        <v>0</v>
      </c>
      <c r="D547" s="7">
        <v>0</v>
      </c>
      <c r="E547" s="1" t="e">
        <f t="shared" si="34"/>
        <v>#DIV/0!</v>
      </c>
    </row>
    <row r="548" spans="1:5" x14ac:dyDescent="0.3">
      <c r="A548">
        <v>2020</v>
      </c>
      <c r="B548" s="2">
        <v>0</v>
      </c>
      <c r="C548" s="2">
        <v>0</v>
      </c>
      <c r="D548" s="2">
        <v>0</v>
      </c>
      <c r="E548" s="1" t="e">
        <f t="shared" si="34"/>
        <v>#DIV/0!</v>
      </c>
    </row>
    <row r="551" spans="1:5" x14ac:dyDescent="0.3">
      <c r="A551" s="6" t="s">
        <v>57</v>
      </c>
      <c r="B551" s="7">
        <f>SUM(B552:B559)</f>
        <v>399418.07142857276</v>
      </c>
      <c r="C551" s="7">
        <f t="shared" ref="C551:D551" si="39">SUM(C552:C559)</f>
        <v>60803.857142857043</v>
      </c>
      <c r="D551" s="7">
        <f t="shared" si="39"/>
        <v>338614.21428571572</v>
      </c>
      <c r="E551" s="1">
        <f t="shared" si="34"/>
        <v>0.84776888805911099</v>
      </c>
    </row>
    <row r="552" spans="1:5" x14ac:dyDescent="0.3">
      <c r="A552">
        <v>2019</v>
      </c>
      <c r="B552" s="2">
        <v>36381</v>
      </c>
      <c r="C552" s="2">
        <v>8018</v>
      </c>
      <c r="D552" s="2">
        <v>28363</v>
      </c>
      <c r="E552" s="1">
        <f t="shared" si="34"/>
        <v>0.77961023611225644</v>
      </c>
    </row>
    <row r="553" spans="1:5" x14ac:dyDescent="0.3">
      <c r="A553">
        <v>2021</v>
      </c>
      <c r="B553" s="2">
        <v>63357</v>
      </c>
      <c r="C553" s="2">
        <v>12385</v>
      </c>
      <c r="D553" s="2">
        <v>50972</v>
      </c>
      <c r="E553" s="1">
        <f t="shared" si="34"/>
        <v>0.80452041605505309</v>
      </c>
    </row>
    <row r="554" spans="1:5" x14ac:dyDescent="0.3">
      <c r="A554">
        <v>2022</v>
      </c>
      <c r="B554" s="2">
        <v>57924</v>
      </c>
      <c r="C554" s="2">
        <v>4691</v>
      </c>
      <c r="D554" s="2">
        <v>53233</v>
      </c>
      <c r="E554" s="1">
        <f t="shared" si="34"/>
        <v>0.9190145708169325</v>
      </c>
    </row>
    <row r="555" spans="1:5" x14ac:dyDescent="0.3">
      <c r="A555">
        <v>2023</v>
      </c>
      <c r="B555" s="2">
        <v>108760</v>
      </c>
      <c r="C555" s="2">
        <v>9677</v>
      </c>
      <c r="D555" s="2">
        <v>99083</v>
      </c>
      <c r="E555" s="1">
        <f t="shared" si="34"/>
        <v>0.91102427363001104</v>
      </c>
    </row>
    <row r="556" spans="1:5" x14ac:dyDescent="0.3">
      <c r="A556">
        <v>2024</v>
      </c>
      <c r="B556" s="2">
        <v>35513</v>
      </c>
      <c r="C556" s="2">
        <v>12511</v>
      </c>
      <c r="D556" s="2">
        <v>23002</v>
      </c>
      <c r="E556" s="1">
        <f t="shared" si="34"/>
        <v>0.64770647368569256</v>
      </c>
    </row>
    <row r="557" spans="1:5" x14ac:dyDescent="0.3">
      <c r="A557">
        <v>2025</v>
      </c>
      <c r="B557" s="2">
        <v>13204</v>
      </c>
      <c r="C557" s="2">
        <v>1755</v>
      </c>
      <c r="D557" s="2">
        <v>11449</v>
      </c>
      <c r="E557" s="1">
        <f t="shared" si="34"/>
        <v>0.86708573159648594</v>
      </c>
    </row>
    <row r="558" spans="1:5" x14ac:dyDescent="0.3">
      <c r="A558">
        <v>2026</v>
      </c>
      <c r="B558" s="2">
        <f>_xlfn.FORECAST.LINEAR(A558,B552:B557,A552:A557)</f>
        <v>43385.571428571828</v>
      </c>
      <c r="C558" s="2">
        <f>_xlfn.FORECAST.LINEAR(A558,C552:C557,A552:A557)</f>
        <v>6158.1571428570896</v>
      </c>
      <c r="D558" s="2">
        <f>B558-C558</f>
        <v>37227.414285714738</v>
      </c>
      <c r="E558" s="1">
        <f t="shared" si="34"/>
        <v>0.85805978946259542</v>
      </c>
    </row>
    <row r="559" spans="1:5" x14ac:dyDescent="0.3">
      <c r="A559">
        <v>2027</v>
      </c>
      <c r="B559" s="2">
        <f>_xlfn.FORECAST.LINEAR(A559,B552:B558,A552:A558)</f>
        <v>40893.500000000931</v>
      </c>
      <c r="C559" s="2">
        <f>_xlfn.FORECAST.LINEAR(A559,C552:C558,A552:A558)</f>
        <v>5608.6999999999534</v>
      </c>
      <c r="D559" s="2">
        <f>B559-C559</f>
        <v>35284.800000000978</v>
      </c>
      <c r="E559" s="1">
        <f t="shared" si="34"/>
        <v>0.86284617359727522</v>
      </c>
    </row>
    <row r="560" spans="1:5" x14ac:dyDescent="0.3">
      <c r="A560" s="6" t="s">
        <v>58</v>
      </c>
      <c r="B560" s="7">
        <f>SUM(B561:B569)</f>
        <v>116705.57142857136</v>
      </c>
      <c r="C560" s="7">
        <f t="shared" ref="C560:D560" si="40">SUM(C561:C569)</f>
        <v>41611.17857142858</v>
      </c>
      <c r="D560" s="7">
        <f t="shared" si="40"/>
        <v>75094.392857142782</v>
      </c>
      <c r="E560" s="1">
        <f t="shared" si="34"/>
        <v>0.64345165306099938</v>
      </c>
    </row>
    <row r="561" spans="1:5" x14ac:dyDescent="0.3">
      <c r="A561">
        <v>2019</v>
      </c>
      <c r="B561" s="2">
        <v>0</v>
      </c>
      <c r="C561" s="2">
        <v>67</v>
      </c>
      <c r="D561" s="2">
        <v>-67</v>
      </c>
      <c r="E561" s="1" t="e">
        <f t="shared" si="34"/>
        <v>#DIV/0!</v>
      </c>
    </row>
    <row r="562" spans="1:5" x14ac:dyDescent="0.3">
      <c r="A562">
        <v>2020</v>
      </c>
      <c r="B562" s="2">
        <v>30309</v>
      </c>
      <c r="C562" s="2">
        <v>12088</v>
      </c>
      <c r="D562" s="2">
        <v>18221</v>
      </c>
      <c r="E562" s="1">
        <f t="shared" si="34"/>
        <v>0.60117456860998386</v>
      </c>
    </row>
    <row r="563" spans="1:5" x14ac:dyDescent="0.3">
      <c r="A563">
        <v>2021</v>
      </c>
      <c r="B563" s="2">
        <v>8350</v>
      </c>
      <c r="C563" s="2">
        <v>4132</v>
      </c>
      <c r="D563" s="2">
        <v>4218</v>
      </c>
      <c r="E563" s="1">
        <f t="shared" si="34"/>
        <v>0.50514970059880238</v>
      </c>
    </row>
    <row r="564" spans="1:5" x14ac:dyDescent="0.3">
      <c r="A564">
        <v>2022</v>
      </c>
      <c r="B564" s="2">
        <v>18831</v>
      </c>
      <c r="C564" s="2">
        <v>4849</v>
      </c>
      <c r="D564" s="2">
        <v>13982</v>
      </c>
      <c r="E564" s="1">
        <f t="shared" si="34"/>
        <v>0.74249907068132337</v>
      </c>
    </row>
    <row r="565" spans="1:5" x14ac:dyDescent="0.3">
      <c r="A565">
        <v>2023</v>
      </c>
      <c r="B565" s="2">
        <v>11106</v>
      </c>
      <c r="C565" s="2">
        <v>2374</v>
      </c>
      <c r="D565" s="2">
        <v>8732</v>
      </c>
      <c r="E565" s="1">
        <f t="shared" si="34"/>
        <v>0.78624167116873767</v>
      </c>
    </row>
    <row r="566" spans="1:5" x14ac:dyDescent="0.3">
      <c r="A566">
        <v>2024</v>
      </c>
      <c r="B566" s="2">
        <v>24427</v>
      </c>
      <c r="C566" s="2">
        <v>10114</v>
      </c>
      <c r="D566" s="2">
        <v>14313</v>
      </c>
      <c r="E566" s="1">
        <f t="shared" si="34"/>
        <v>0.58594997339010113</v>
      </c>
    </row>
    <row r="567" spans="1:5" x14ac:dyDescent="0.3">
      <c r="A567">
        <v>2025</v>
      </c>
      <c r="B567" s="2">
        <v>0</v>
      </c>
      <c r="C567" s="2">
        <v>124</v>
      </c>
      <c r="D567" s="2">
        <v>-124</v>
      </c>
      <c r="E567" s="1" t="e">
        <f t="shared" si="34"/>
        <v>#DIV/0!</v>
      </c>
    </row>
    <row r="568" spans="1:5" x14ac:dyDescent="0.3">
      <c r="A568">
        <v>2026</v>
      </c>
      <c r="B568" s="2">
        <f>_xlfn.FORECAST.LINEAR(A568,B561:B567,A561:A567)</f>
        <v>12002.142857142841</v>
      </c>
      <c r="C568" s="2">
        <f>_xlfn.FORECAST.LINEAR(A568,C561:C567,A561:A567)</f>
        <v>4030.4285714285797</v>
      </c>
      <c r="D568" s="2">
        <f>B568-C568</f>
        <v>7971.7142857142608</v>
      </c>
      <c r="E568" s="1">
        <f t="shared" si="34"/>
        <v>0.66419091828839971</v>
      </c>
    </row>
    <row r="569" spans="1:5" x14ac:dyDescent="0.3">
      <c r="A569">
        <v>2027</v>
      </c>
      <c r="B569" s="2">
        <f>_xlfn.FORECAST.LINEAR(A569,B561:B568,A561:A568)</f>
        <v>11680.428571428522</v>
      </c>
      <c r="C569" s="2">
        <f>_xlfn.FORECAST.LINEAR(A569,C561:C568,A561:A568)</f>
        <v>3832.75</v>
      </c>
      <c r="D569" s="2">
        <f>B569-C569</f>
        <v>7847.6785714285215</v>
      </c>
      <c r="E569" s="1">
        <f t="shared" si="34"/>
        <v>0.67186563604564276</v>
      </c>
    </row>
    <row r="570" spans="1:5" x14ac:dyDescent="0.3">
      <c r="A570" s="6" t="s">
        <v>59</v>
      </c>
      <c r="B570" s="7">
        <f>SUM(B571:B579)</f>
        <v>93782.57142857142</v>
      </c>
      <c r="C570" s="7">
        <f t="shared" ref="C570:D570" si="41">SUM(C571:C579)</f>
        <v>36868.821428571478</v>
      </c>
      <c r="D570" s="7">
        <f t="shared" si="41"/>
        <v>56913.749999999942</v>
      </c>
      <c r="E570" s="1">
        <f t="shared" si="34"/>
        <v>0.60686915631597649</v>
      </c>
    </row>
    <row r="571" spans="1:5" x14ac:dyDescent="0.3">
      <c r="A571">
        <v>2019</v>
      </c>
      <c r="B571" s="2">
        <v>0</v>
      </c>
      <c r="C571" s="2">
        <v>65</v>
      </c>
      <c r="D571" s="2">
        <v>-65</v>
      </c>
      <c r="E571" s="1" t="e">
        <f t="shared" si="34"/>
        <v>#DIV/0!</v>
      </c>
    </row>
    <row r="572" spans="1:5" x14ac:dyDescent="0.3">
      <c r="A572">
        <v>2020</v>
      </c>
      <c r="B572" s="2">
        <v>19832</v>
      </c>
      <c r="C572" s="2">
        <v>8611</v>
      </c>
      <c r="D572" s="2">
        <v>11221</v>
      </c>
      <c r="E572" s="1">
        <f t="shared" si="34"/>
        <v>0.56580274304154898</v>
      </c>
    </row>
    <row r="573" spans="1:5" x14ac:dyDescent="0.3">
      <c r="A573">
        <v>2021</v>
      </c>
      <c r="B573" s="2">
        <v>9395</v>
      </c>
      <c r="C573" s="2">
        <v>1405</v>
      </c>
      <c r="D573" s="2">
        <v>7990</v>
      </c>
      <c r="E573" s="1">
        <f t="shared" si="34"/>
        <v>0.85045236828100057</v>
      </c>
    </row>
    <row r="574" spans="1:5" x14ac:dyDescent="0.3">
      <c r="A574">
        <v>2022</v>
      </c>
      <c r="B574" s="2">
        <v>13188</v>
      </c>
      <c r="C574" s="2">
        <v>5690</v>
      </c>
      <c r="D574" s="2">
        <v>7498</v>
      </c>
      <c r="E574" s="1">
        <f t="shared" si="34"/>
        <v>0.56854716408856532</v>
      </c>
    </row>
    <row r="575" spans="1:5" x14ac:dyDescent="0.3">
      <c r="A575">
        <v>2023</v>
      </c>
      <c r="B575" s="2">
        <v>9064</v>
      </c>
      <c r="C575" s="2">
        <v>3604</v>
      </c>
      <c r="D575" s="2">
        <v>5460</v>
      </c>
      <c r="E575" s="1">
        <f t="shared" si="34"/>
        <v>0.60238305383936452</v>
      </c>
    </row>
    <row r="576" spans="1:5" x14ac:dyDescent="0.3">
      <c r="A576">
        <v>2024</v>
      </c>
      <c r="B576" s="2">
        <v>12466</v>
      </c>
      <c r="C576" s="2">
        <v>4797</v>
      </c>
      <c r="D576" s="2">
        <v>7669</v>
      </c>
      <c r="E576" s="1">
        <f t="shared" si="34"/>
        <v>0.61519332584630193</v>
      </c>
    </row>
    <row r="577" spans="1:5" x14ac:dyDescent="0.3">
      <c r="A577">
        <v>2025</v>
      </c>
      <c r="B577" s="2">
        <v>7293</v>
      </c>
      <c r="C577" s="2">
        <v>3377</v>
      </c>
      <c r="D577" s="2">
        <v>3916</v>
      </c>
      <c r="E577" s="1">
        <f t="shared" si="34"/>
        <v>0.53695324283559576</v>
      </c>
    </row>
    <row r="578" spans="1:5" x14ac:dyDescent="0.3">
      <c r="A578">
        <v>2026</v>
      </c>
      <c r="B578" s="2">
        <f>_xlfn.FORECAST.LINEAR(A578,B571:B577,A571:A577)</f>
        <v>11150.57142857142</v>
      </c>
      <c r="C578" s="2">
        <f>_xlfn.FORECAST.LINEAR(A578,C571:C577,A571:A577)</f>
        <v>4579.4285714285797</v>
      </c>
      <c r="D578" s="2">
        <f>B578-C578</f>
        <v>6571.1428571428405</v>
      </c>
      <c r="E578" s="1">
        <f t="shared" si="34"/>
        <v>0.58930996489609655</v>
      </c>
    </row>
    <row r="579" spans="1:5" x14ac:dyDescent="0.3">
      <c r="A579">
        <v>2027</v>
      </c>
      <c r="B579" s="2">
        <f>_xlfn.FORECAST.LINEAR(A579,B571:B578,A571:A578)</f>
        <v>11394</v>
      </c>
      <c r="C579" s="2">
        <f>_xlfn.FORECAST.LINEAR(A579,C571:C578,A571:A578)</f>
        <v>4740.3928571428987</v>
      </c>
      <c r="D579" s="2">
        <f>B579-C579</f>
        <v>6653.6071428571013</v>
      </c>
      <c r="E579" s="1">
        <f t="shared" ref="E579:E589" si="42">D579/B579</f>
        <v>0.58395709521301575</v>
      </c>
    </row>
    <row r="580" spans="1:5" x14ac:dyDescent="0.3">
      <c r="A580" s="6" t="s">
        <v>60</v>
      </c>
      <c r="B580" s="7">
        <f>SUM(B581:B589)</f>
        <v>244669.50000000093</v>
      </c>
      <c r="C580" s="7">
        <f t="shared" ref="C580:D580" si="43">SUM(C581:C589)</f>
        <v>110132.0357142858</v>
      </c>
      <c r="D580" s="7">
        <f t="shared" si="43"/>
        <v>134537.46428571513</v>
      </c>
      <c r="E580" s="1">
        <f t="shared" si="42"/>
        <v>0.54987427646565923</v>
      </c>
    </row>
    <row r="581" spans="1:5" x14ac:dyDescent="0.3">
      <c r="A581">
        <v>2019</v>
      </c>
      <c r="B581" s="2">
        <v>33290</v>
      </c>
      <c r="C581" s="2">
        <v>13317</v>
      </c>
      <c r="D581" s="2">
        <v>19973</v>
      </c>
      <c r="E581" s="1">
        <f t="shared" si="42"/>
        <v>0.59996996094923405</v>
      </c>
    </row>
    <row r="582" spans="1:5" x14ac:dyDescent="0.3">
      <c r="A582">
        <v>2020</v>
      </c>
      <c r="B582" s="2">
        <v>34712</v>
      </c>
      <c r="C582" s="2">
        <v>11167</v>
      </c>
      <c r="D582" s="2">
        <v>23545</v>
      </c>
      <c r="E582" s="1">
        <f t="shared" si="42"/>
        <v>0.67829569025120995</v>
      </c>
    </row>
    <row r="583" spans="1:5" x14ac:dyDescent="0.3">
      <c r="A583">
        <v>2021</v>
      </c>
      <c r="B583" s="2">
        <v>41600</v>
      </c>
      <c r="C583" s="2">
        <v>19128</v>
      </c>
      <c r="D583" s="2">
        <v>22472</v>
      </c>
      <c r="E583" s="1">
        <f t="shared" si="42"/>
        <v>0.54019230769230764</v>
      </c>
    </row>
    <row r="584" spans="1:5" x14ac:dyDescent="0.3">
      <c r="A584">
        <v>2022</v>
      </c>
      <c r="B584" s="2">
        <v>22121</v>
      </c>
      <c r="C584" s="2">
        <v>9854</v>
      </c>
      <c r="D584" s="2">
        <v>12267</v>
      </c>
      <c r="E584" s="1">
        <f t="shared" si="42"/>
        <v>0.55454093395416115</v>
      </c>
    </row>
    <row r="585" spans="1:5" x14ac:dyDescent="0.3">
      <c r="A585">
        <v>2023</v>
      </c>
      <c r="B585" s="2">
        <v>29872</v>
      </c>
      <c r="C585" s="2">
        <v>12978</v>
      </c>
      <c r="D585" s="2">
        <v>16894</v>
      </c>
      <c r="E585" s="1">
        <f t="shared" si="42"/>
        <v>0.56554633101231921</v>
      </c>
    </row>
    <row r="586" spans="1:5" x14ac:dyDescent="0.3">
      <c r="A586">
        <v>2024</v>
      </c>
      <c r="B586" s="2">
        <v>28236</v>
      </c>
      <c r="C586" s="2">
        <v>13937</v>
      </c>
      <c r="D586" s="2">
        <v>14299</v>
      </c>
      <c r="E586" s="1">
        <f t="shared" si="42"/>
        <v>0.50641025641025639</v>
      </c>
    </row>
    <row r="587" spans="1:5" x14ac:dyDescent="0.3">
      <c r="A587">
        <v>2025</v>
      </c>
      <c r="B587" s="2">
        <v>18060</v>
      </c>
      <c r="C587" s="2">
        <v>8810</v>
      </c>
      <c r="D587" s="2">
        <v>9250</v>
      </c>
      <c r="E587" s="1">
        <f t="shared" si="42"/>
        <v>0.51218161683277963</v>
      </c>
    </row>
    <row r="588" spans="1:5" x14ac:dyDescent="0.3">
      <c r="A588">
        <v>2026</v>
      </c>
      <c r="B588" s="2">
        <f>_xlfn.FORECAST.LINEAR(A588,B581:B587,A581:A587)</f>
        <v>19645.857142857276</v>
      </c>
      <c r="C588" s="2">
        <f>_xlfn.FORECAST.LINEAR(A588,C581:C587,A581:A587)</f>
        <v>10722.857142857159</v>
      </c>
      <c r="D588" s="2">
        <f>B588-C588</f>
        <v>8923.0000000001164</v>
      </c>
      <c r="E588" s="1">
        <f t="shared" si="42"/>
        <v>0.45419245060754643</v>
      </c>
    </row>
    <row r="589" spans="1:5" x14ac:dyDescent="0.3">
      <c r="A589">
        <v>2027</v>
      </c>
      <c r="B589" s="2">
        <f>_xlfn.FORECAST.LINEAR(A589,B581:B588,A581:A588)</f>
        <v>17132.642857143655</v>
      </c>
      <c r="C589" s="2">
        <f>_xlfn.FORECAST.LINEAR(A589,C581:C588,A581:A588)</f>
        <v>10218.178571428638</v>
      </c>
      <c r="D589" s="2">
        <f>B589-C589</f>
        <v>6914.4642857150175</v>
      </c>
      <c r="E589" s="1">
        <f t="shared" si="42"/>
        <v>0.40358421893046997</v>
      </c>
    </row>
    <row r="590" spans="1:5" x14ac:dyDescent="0.3">
      <c r="A590" s="6" t="s">
        <v>61</v>
      </c>
      <c r="B590" s="7">
        <f>SUM(B591:B599)</f>
        <v>153185.78571428638</v>
      </c>
      <c r="C590" s="7">
        <f>SUM(C591:C599)</f>
        <v>115134.10714285728</v>
      </c>
      <c r="D590" s="7">
        <f>SUM(D591:D599)</f>
        <v>38051.678571429104</v>
      </c>
      <c r="E590" s="1">
        <f t="shared" ref="E590:E659" si="44">D590/B590</f>
        <v>0.2484021503300638</v>
      </c>
    </row>
    <row r="591" spans="1:5" x14ac:dyDescent="0.3">
      <c r="A591">
        <v>2019</v>
      </c>
      <c r="B591" s="2">
        <v>7588</v>
      </c>
      <c r="C591" s="2">
        <v>5915</v>
      </c>
      <c r="D591" s="2">
        <v>1673</v>
      </c>
      <c r="E591" s="1">
        <f t="shared" si="44"/>
        <v>0.22047970479704798</v>
      </c>
    </row>
    <row r="592" spans="1:5" x14ac:dyDescent="0.3">
      <c r="A592">
        <v>2020</v>
      </c>
      <c r="B592" s="2">
        <v>5228</v>
      </c>
      <c r="C592" s="2">
        <v>2737</v>
      </c>
      <c r="D592" s="2">
        <v>2491</v>
      </c>
      <c r="E592" s="1">
        <f t="shared" si="44"/>
        <v>0.47647283856159145</v>
      </c>
    </row>
    <row r="593" spans="1:10" x14ac:dyDescent="0.3">
      <c r="A593">
        <v>2021</v>
      </c>
      <c r="B593" s="2">
        <v>11464</v>
      </c>
      <c r="C593" s="2">
        <v>6965</v>
      </c>
      <c r="D593" s="2">
        <v>4499</v>
      </c>
      <c r="E593" s="1">
        <f t="shared" si="44"/>
        <v>0.39244591765526865</v>
      </c>
    </row>
    <row r="594" spans="1:10" x14ac:dyDescent="0.3">
      <c r="A594">
        <v>2022</v>
      </c>
      <c r="B594" s="2">
        <v>14195</v>
      </c>
      <c r="C594" s="2">
        <v>9568</v>
      </c>
      <c r="D594" s="2">
        <v>4627</v>
      </c>
      <c r="E594" s="1">
        <f t="shared" si="44"/>
        <v>0.32595984501585062</v>
      </c>
    </row>
    <row r="595" spans="1:10" x14ac:dyDescent="0.3">
      <c r="A595">
        <v>2023</v>
      </c>
      <c r="B595" s="2">
        <v>24386</v>
      </c>
      <c r="C595" s="2">
        <v>18401</v>
      </c>
      <c r="D595" s="2">
        <v>5985</v>
      </c>
      <c r="E595" s="1">
        <f t="shared" si="44"/>
        <v>0.24542770442056919</v>
      </c>
    </row>
    <row r="596" spans="1:10" x14ac:dyDescent="0.3">
      <c r="A596">
        <v>2024</v>
      </c>
      <c r="B596" s="2">
        <v>23473</v>
      </c>
      <c r="C596" s="2">
        <v>18839</v>
      </c>
      <c r="D596" s="2">
        <v>4634</v>
      </c>
      <c r="E596" s="1">
        <f t="shared" si="44"/>
        <v>0.19741831039918203</v>
      </c>
    </row>
    <row r="597" spans="1:10" x14ac:dyDescent="0.3">
      <c r="A597">
        <v>2025</v>
      </c>
      <c r="B597" s="2">
        <v>14942</v>
      </c>
      <c r="C597" s="2">
        <v>11800</v>
      </c>
      <c r="D597" s="2">
        <v>3142</v>
      </c>
      <c r="E597" s="1">
        <f t="shared" si="44"/>
        <v>0.21027974836032659</v>
      </c>
    </row>
    <row r="598" spans="1:10" x14ac:dyDescent="0.3">
      <c r="A598">
        <v>2026</v>
      </c>
      <c r="B598" s="2">
        <f>_xlfn.FORECAST.LINEAR(A598,B591:B597,A591:A597)</f>
        <v>24678.571428571828</v>
      </c>
      <c r="C598" s="2">
        <f>_xlfn.FORECAST.LINEAR(A598,C591:C597,A591:A597)</f>
        <v>19360</v>
      </c>
      <c r="D598" s="2">
        <f>B598-C598</f>
        <v>5318.5714285718277</v>
      </c>
      <c r="E598" s="1">
        <f t="shared" si="44"/>
        <v>0.21551374819104019</v>
      </c>
    </row>
    <row r="599" spans="1:10" x14ac:dyDescent="0.3">
      <c r="A599">
        <v>2027</v>
      </c>
      <c r="B599" s="2">
        <f>_xlfn.FORECAST.LINEAR(A599,B591:B598,A591:A598)</f>
        <v>27231.214285714552</v>
      </c>
      <c r="C599" s="2">
        <f>_xlfn.FORECAST.LINEAR(A599,C591:C598,A591:A598)</f>
        <v>21549.107142857276</v>
      </c>
      <c r="D599" s="2">
        <f>B599-C599</f>
        <v>5682.1071428572759</v>
      </c>
      <c r="E599" s="1">
        <f t="shared" si="44"/>
        <v>0.20866154124599942</v>
      </c>
    </row>
    <row r="600" spans="1:10" x14ac:dyDescent="0.3">
      <c r="A600" s="13" t="s">
        <v>62</v>
      </c>
      <c r="B600" s="7">
        <f>SUM(B601:B605,)</f>
        <v>10861.647799999999</v>
      </c>
      <c r="C600" s="7">
        <f>SUM(C601:C605)</f>
        <v>1973.5879999999997</v>
      </c>
      <c r="D600" s="7">
        <f>SUM(D601:D605)</f>
        <v>8888.0597999999991</v>
      </c>
      <c r="E600" s="1">
        <f t="shared" si="44"/>
        <v>0.81829755150042705</v>
      </c>
      <c r="G600" s="68" t="s">
        <v>184</v>
      </c>
      <c r="H600" s="68"/>
      <c r="I600" s="68"/>
      <c r="J600" s="68"/>
    </row>
    <row r="601" spans="1:10" x14ac:dyDescent="0.3">
      <c r="A601">
        <v>2019</v>
      </c>
      <c r="B601" s="2">
        <v>0</v>
      </c>
      <c r="C601" s="2">
        <v>3</v>
      </c>
      <c r="D601" s="2">
        <v>-3</v>
      </c>
      <c r="E601" s="1" t="e">
        <f t="shared" si="44"/>
        <v>#DIV/0!</v>
      </c>
      <c r="G601" s="68"/>
      <c r="H601" s="68"/>
      <c r="I601" s="68"/>
      <c r="J601" s="68"/>
    </row>
    <row r="602" spans="1:10" x14ac:dyDescent="0.3">
      <c r="A602">
        <v>2024</v>
      </c>
      <c r="B602" s="2">
        <v>5102</v>
      </c>
      <c r="C602" s="2">
        <v>920</v>
      </c>
      <c r="D602" s="2">
        <v>4182</v>
      </c>
      <c r="E602" s="1">
        <f t="shared" si="44"/>
        <v>0.81967855742845941</v>
      </c>
      <c r="G602" s="68"/>
      <c r="H602" s="68"/>
      <c r="I602" s="68"/>
      <c r="J602" s="68"/>
    </row>
    <row r="603" spans="1:10" x14ac:dyDescent="0.3">
      <c r="A603">
        <v>2025</v>
      </c>
      <c r="B603" s="2">
        <v>0</v>
      </c>
      <c r="C603" s="2">
        <v>12</v>
      </c>
      <c r="D603" s="2">
        <v>-12</v>
      </c>
      <c r="E603" s="1" t="e">
        <f t="shared" si="44"/>
        <v>#DIV/0!</v>
      </c>
    </row>
    <row r="604" spans="1:10" x14ac:dyDescent="0.3">
      <c r="A604">
        <v>2026</v>
      </c>
      <c r="B604" s="2">
        <f>B602*(0.71)</f>
        <v>3622.4199999999996</v>
      </c>
      <c r="C604" s="2">
        <f>C602*(0.71)</f>
        <v>653.19999999999993</v>
      </c>
      <c r="D604" s="2">
        <f>B604-C604</f>
        <v>2969.22</v>
      </c>
      <c r="E604" s="1">
        <f t="shared" si="44"/>
        <v>0.81967855742845941</v>
      </c>
    </row>
    <row r="605" spans="1:10" x14ac:dyDescent="0.3">
      <c r="A605">
        <v>2027</v>
      </c>
      <c r="B605" s="2">
        <f>B604*(0.59)</f>
        <v>2137.2277999999997</v>
      </c>
      <c r="C605" s="2">
        <f>C604*(0.59)</f>
        <v>385.38799999999992</v>
      </c>
      <c r="D605" s="2">
        <f>B605-C605</f>
        <v>1751.8397999999997</v>
      </c>
      <c r="E605" s="1">
        <f t="shared" si="44"/>
        <v>0.81967855742845941</v>
      </c>
    </row>
    <row r="606" spans="1:10" x14ac:dyDescent="0.3">
      <c r="A606" s="6" t="s">
        <v>63</v>
      </c>
      <c r="B606" s="7">
        <f>SUM(B607:B615)</f>
        <v>83187.642857142841</v>
      </c>
      <c r="C606" s="7">
        <f t="shared" ref="C606:D606" si="45">SUM(C607:C615)</f>
        <v>17475.428571428572</v>
      </c>
      <c r="D606" s="7">
        <f t="shared" si="45"/>
        <v>65712</v>
      </c>
      <c r="E606" s="1">
        <f t="shared" si="44"/>
        <v>0.78992501461841447</v>
      </c>
    </row>
    <row r="607" spans="1:10" x14ac:dyDescent="0.3">
      <c r="A607">
        <v>2019</v>
      </c>
      <c r="B607" s="2">
        <v>11062</v>
      </c>
      <c r="C607" s="2">
        <v>2434</v>
      </c>
      <c r="D607" s="2">
        <v>8628</v>
      </c>
      <c r="E607" s="1">
        <f t="shared" si="44"/>
        <v>0.77996745615621044</v>
      </c>
    </row>
    <row r="608" spans="1:10" x14ac:dyDescent="0.3">
      <c r="A608">
        <v>2020</v>
      </c>
      <c r="B608" s="2">
        <v>5606</v>
      </c>
      <c r="C608" s="2">
        <v>2412</v>
      </c>
      <c r="D608" s="2">
        <v>3194</v>
      </c>
      <c r="E608" s="1">
        <f t="shared" si="44"/>
        <v>0.56974669996432392</v>
      </c>
    </row>
    <row r="609" spans="1:5" x14ac:dyDescent="0.3">
      <c r="A609">
        <v>2021</v>
      </c>
      <c r="B609" s="2">
        <v>9339</v>
      </c>
      <c r="C609" s="2">
        <v>1053</v>
      </c>
      <c r="D609" s="2">
        <v>8286</v>
      </c>
      <c r="E609" s="1">
        <f t="shared" si="44"/>
        <v>0.88724702858978477</v>
      </c>
    </row>
    <row r="610" spans="1:5" x14ac:dyDescent="0.3">
      <c r="A610">
        <v>2022</v>
      </c>
      <c r="B610" s="2">
        <v>8459</v>
      </c>
      <c r="C610" s="2">
        <v>1125</v>
      </c>
      <c r="D610" s="2">
        <v>7334</v>
      </c>
      <c r="E610" s="1">
        <f t="shared" si="44"/>
        <v>0.86700555621231823</v>
      </c>
    </row>
    <row r="611" spans="1:5" x14ac:dyDescent="0.3">
      <c r="A611">
        <v>2023</v>
      </c>
      <c r="B611" s="2">
        <v>13189</v>
      </c>
      <c r="C611" s="2">
        <v>2389</v>
      </c>
      <c r="D611" s="2">
        <v>10800</v>
      </c>
      <c r="E611" s="1">
        <f t="shared" si="44"/>
        <v>0.81886420501933432</v>
      </c>
    </row>
    <row r="612" spans="1:5" x14ac:dyDescent="0.3">
      <c r="A612">
        <v>2024</v>
      </c>
      <c r="B612" s="2">
        <v>6227</v>
      </c>
      <c r="C612" s="2">
        <v>1033</v>
      </c>
      <c r="D612" s="2">
        <v>5194</v>
      </c>
      <c r="E612" s="1">
        <f t="shared" si="44"/>
        <v>0.8341095230448049</v>
      </c>
    </row>
    <row r="613" spans="1:5" x14ac:dyDescent="0.3">
      <c r="A613">
        <v>2025</v>
      </c>
      <c r="B613" s="2">
        <v>10196</v>
      </c>
      <c r="C613" s="2">
        <v>3044</v>
      </c>
      <c r="D613" s="2">
        <v>7152</v>
      </c>
      <c r="E613" s="1">
        <f t="shared" si="44"/>
        <v>0.70145154962730483</v>
      </c>
    </row>
    <row r="614" spans="1:5" x14ac:dyDescent="0.3">
      <c r="A614">
        <v>2026</v>
      </c>
      <c r="B614" s="2">
        <f>_xlfn.FORECAST.LINEAR(A614,B607:B613,A607:A613)</f>
        <v>9510.2857142857101</v>
      </c>
      <c r="C614" s="2">
        <f>_xlfn.FORECAST.LINEAR(A614,C607:C613,A607:A613)</f>
        <v>1985.4285714285725</v>
      </c>
      <c r="D614" s="2">
        <v>7525</v>
      </c>
      <c r="E614" s="1">
        <f t="shared" si="44"/>
        <v>0.79124857297362294</v>
      </c>
    </row>
    <row r="615" spans="1:5" x14ac:dyDescent="0.3">
      <c r="A615">
        <v>2027</v>
      </c>
      <c r="B615" s="2">
        <f>_xlfn.FORECAST.LINEAR(A615,B607:B614,A607:A614)</f>
        <v>9599.3571428571304</v>
      </c>
      <c r="C615" s="2">
        <f>_xlfn.FORECAST.LINEAR(A615,C607:C614,A607:A614)</f>
        <v>2000</v>
      </c>
      <c r="D615" s="2">
        <v>7599</v>
      </c>
      <c r="E615" s="1">
        <f t="shared" si="44"/>
        <v>0.79161550996718633</v>
      </c>
    </row>
    <row r="616" spans="1:5" x14ac:dyDescent="0.3">
      <c r="A616" s="6" t="s">
        <v>64</v>
      </c>
      <c r="B616" s="7">
        <f>SUM(B617:B625)</f>
        <v>95953.821428571362</v>
      </c>
      <c r="C616" s="7">
        <f t="shared" ref="C616:D616" si="46">SUM(C617:C625)</f>
        <v>27629.678571428638</v>
      </c>
      <c r="D616" s="7">
        <f t="shared" si="46"/>
        <v>68324.142857142724</v>
      </c>
      <c r="E616" s="1">
        <f t="shared" si="44"/>
        <v>0.7120523376758231</v>
      </c>
    </row>
    <row r="617" spans="1:5" x14ac:dyDescent="0.3">
      <c r="A617">
        <v>2019</v>
      </c>
      <c r="B617" s="2">
        <v>7976</v>
      </c>
      <c r="C617" s="2">
        <v>5492</v>
      </c>
      <c r="D617" s="2">
        <v>2484</v>
      </c>
      <c r="E617" s="1">
        <f t="shared" si="44"/>
        <v>0.3114343029087262</v>
      </c>
    </row>
    <row r="618" spans="1:5" x14ac:dyDescent="0.3">
      <c r="A618">
        <v>2020</v>
      </c>
      <c r="B618" s="2">
        <v>7075</v>
      </c>
      <c r="C618" s="2">
        <v>5257</v>
      </c>
      <c r="D618" s="2">
        <v>1818</v>
      </c>
      <c r="E618" s="1">
        <f t="shared" si="44"/>
        <v>0.25696113074204946</v>
      </c>
    </row>
    <row r="619" spans="1:5" x14ac:dyDescent="0.3">
      <c r="A619">
        <v>2021</v>
      </c>
      <c r="B619" s="2">
        <v>15059</v>
      </c>
      <c r="C619" s="2">
        <v>9068</v>
      </c>
      <c r="D619" s="2">
        <v>5991</v>
      </c>
      <c r="E619" s="1">
        <f t="shared" si="44"/>
        <v>0.39783518161896542</v>
      </c>
    </row>
    <row r="620" spans="1:5" x14ac:dyDescent="0.3">
      <c r="A620">
        <v>2022</v>
      </c>
      <c r="B620" s="2">
        <v>3204</v>
      </c>
      <c r="C620" s="2">
        <v>1183</v>
      </c>
      <c r="D620" s="2">
        <v>2021</v>
      </c>
      <c r="E620" s="1">
        <f t="shared" si="44"/>
        <v>0.63077403245942576</v>
      </c>
    </row>
    <row r="621" spans="1:5" x14ac:dyDescent="0.3">
      <c r="A621">
        <v>2023</v>
      </c>
      <c r="B621" s="2">
        <v>13632</v>
      </c>
      <c r="C621" s="2">
        <v>1802</v>
      </c>
      <c r="D621" s="2">
        <v>11830</v>
      </c>
      <c r="E621" s="1">
        <f t="shared" si="44"/>
        <v>0.86781103286384975</v>
      </c>
    </row>
    <row r="622" spans="1:5" x14ac:dyDescent="0.3">
      <c r="A622">
        <v>2024</v>
      </c>
      <c r="B622" s="2">
        <v>14011</v>
      </c>
      <c r="C622" s="2">
        <v>2045</v>
      </c>
      <c r="D622" s="2">
        <v>11966</v>
      </c>
      <c r="E622" s="1">
        <f t="shared" si="44"/>
        <v>0.85404325173078299</v>
      </c>
    </row>
    <row r="623" spans="1:5" x14ac:dyDescent="0.3">
      <c r="A623">
        <v>2025</v>
      </c>
      <c r="B623" s="2">
        <v>9454</v>
      </c>
      <c r="C623" s="2">
        <v>2391</v>
      </c>
      <c r="D623" s="2">
        <v>7063</v>
      </c>
      <c r="E623" s="1">
        <f t="shared" si="44"/>
        <v>0.74709117833721173</v>
      </c>
    </row>
    <row r="624" spans="1:5" x14ac:dyDescent="0.3">
      <c r="A624">
        <v>2026</v>
      </c>
      <c r="B624" s="2">
        <f>_xlfn.FORECAST.LINEAR(A624,B617:B623,A617:A623)</f>
        <v>12470</v>
      </c>
      <c r="C624" s="2">
        <f>_xlfn.FORECAST.LINEAR(A624,C617:C623,A617:A623)</f>
        <v>606.42857142863795</v>
      </c>
      <c r="D624" s="2">
        <f>B624-C624</f>
        <v>11863.571428571362</v>
      </c>
      <c r="E624" s="1">
        <f t="shared" si="44"/>
        <v>0.951368999885434</v>
      </c>
    </row>
    <row r="625" spans="1:5" x14ac:dyDescent="0.3">
      <c r="A625">
        <v>2027</v>
      </c>
      <c r="B625" s="2">
        <f>_xlfn.FORECAST.LINEAR(A625,B617:B624,A617:A624)</f>
        <v>13072.821428571362</v>
      </c>
      <c r="C625" s="2">
        <f>_xlfn.FORECAST.LINEAR(A625,C617:C624,A617:A624)</f>
        <v>-214.75</v>
      </c>
      <c r="D625" s="2">
        <f>B625-C625</f>
        <v>13287.571428571362</v>
      </c>
      <c r="E625" s="1">
        <f t="shared" si="44"/>
        <v>1.0164272113080848</v>
      </c>
    </row>
    <row r="626" spans="1:5" x14ac:dyDescent="0.3">
      <c r="A626" s="6" t="s">
        <v>65</v>
      </c>
      <c r="B626" s="7">
        <f>SUM(B627:B635)</f>
        <v>87793.071428571595</v>
      </c>
      <c r="C626" s="7">
        <f t="shared" ref="C626:D626" si="47">SUM(C627:C635)</f>
        <v>35970.428571428638</v>
      </c>
      <c r="D626" s="7">
        <f t="shared" si="47"/>
        <v>51822.642857142957</v>
      </c>
      <c r="E626" s="1">
        <f t="shared" si="44"/>
        <v>0.59028169323482249</v>
      </c>
    </row>
    <row r="627" spans="1:5" x14ac:dyDescent="0.3">
      <c r="A627">
        <v>2019</v>
      </c>
      <c r="B627" s="2">
        <v>0</v>
      </c>
      <c r="C627" s="2">
        <v>56</v>
      </c>
      <c r="D627" s="2">
        <v>-56</v>
      </c>
      <c r="E627" s="1" t="e">
        <f t="shared" si="44"/>
        <v>#DIV/0!</v>
      </c>
    </row>
    <row r="628" spans="1:5" x14ac:dyDescent="0.3">
      <c r="A628">
        <v>2020</v>
      </c>
      <c r="B628" s="2">
        <v>10988</v>
      </c>
      <c r="C628" s="2">
        <v>2733</v>
      </c>
      <c r="D628" s="2">
        <v>8255</v>
      </c>
      <c r="E628" s="1">
        <f t="shared" si="44"/>
        <v>0.75127411721878412</v>
      </c>
    </row>
    <row r="629" spans="1:5" x14ac:dyDescent="0.3">
      <c r="A629">
        <v>2021</v>
      </c>
      <c r="B629" s="2">
        <v>12046</v>
      </c>
      <c r="C629" s="2">
        <v>5744</v>
      </c>
      <c r="D629" s="2">
        <v>6302</v>
      </c>
      <c r="E629" s="1">
        <f t="shared" si="44"/>
        <v>0.52316121534119209</v>
      </c>
    </row>
    <row r="630" spans="1:5" x14ac:dyDescent="0.3">
      <c r="A630">
        <v>2022</v>
      </c>
      <c r="B630" s="2">
        <v>10800</v>
      </c>
      <c r="C630" s="2">
        <v>3889</v>
      </c>
      <c r="D630" s="2">
        <v>6911</v>
      </c>
      <c r="E630" s="1">
        <f t="shared" si="44"/>
        <v>0.63990740740740737</v>
      </c>
    </row>
    <row r="631" spans="1:5" x14ac:dyDescent="0.3">
      <c r="A631">
        <v>2023</v>
      </c>
      <c r="B631" s="2">
        <v>12012</v>
      </c>
      <c r="C631" s="2">
        <v>6249</v>
      </c>
      <c r="D631" s="2">
        <v>5763</v>
      </c>
      <c r="E631" s="1">
        <f t="shared" si="44"/>
        <v>0.47977022977022976</v>
      </c>
    </row>
    <row r="632" spans="1:5" x14ac:dyDescent="0.3">
      <c r="A632">
        <v>2024</v>
      </c>
      <c r="B632" s="2">
        <v>11314</v>
      </c>
      <c r="C632" s="2">
        <v>3546</v>
      </c>
      <c r="D632" s="2">
        <v>7768</v>
      </c>
      <c r="E632" s="1">
        <f t="shared" si="44"/>
        <v>0.68658299452006366</v>
      </c>
    </row>
    <row r="633" spans="1:5" x14ac:dyDescent="0.3">
      <c r="A633">
        <v>2025</v>
      </c>
      <c r="B633" s="2">
        <v>6268</v>
      </c>
      <c r="C633" s="2">
        <v>3011</v>
      </c>
      <c r="D633" s="2">
        <v>3257</v>
      </c>
      <c r="E633" s="1">
        <f t="shared" si="44"/>
        <v>0.5196234843650287</v>
      </c>
    </row>
    <row r="634" spans="1:5" x14ac:dyDescent="0.3">
      <c r="A634">
        <v>2026</v>
      </c>
      <c r="B634" s="2">
        <f>_xlfn.FORECAST.LINEAR(A634,B627:B633,A627:A633)</f>
        <v>11835.714285714319</v>
      </c>
      <c r="C634" s="2">
        <f>_xlfn.FORECAST.LINEAR(A634,C627:C633,A627:A633)</f>
        <v>5174.8571428571595</v>
      </c>
      <c r="D634" s="2">
        <f>B634-C634</f>
        <v>6660.8571428571595</v>
      </c>
      <c r="E634" s="1">
        <f t="shared" si="44"/>
        <v>0.56277610138805056</v>
      </c>
    </row>
    <row r="635" spans="1:5" x14ac:dyDescent="0.3">
      <c r="A635">
        <v>2027</v>
      </c>
      <c r="B635" s="2">
        <f>_xlfn.FORECAST.LINEAR(A635,B627:B634,A627:A634)</f>
        <v>12529.357142857276</v>
      </c>
      <c r="C635" s="2">
        <f>_xlfn.FORECAST.LINEAR(A635,C627:C634,A627:A634)</f>
        <v>5567.5714285714785</v>
      </c>
      <c r="D635" s="2">
        <f>B635-C635</f>
        <v>6961.7857142857974</v>
      </c>
      <c r="E635" s="1">
        <f t="shared" si="44"/>
        <v>0.55563790184196049</v>
      </c>
    </row>
    <row r="636" spans="1:5" x14ac:dyDescent="0.3">
      <c r="A636" s="6" t="s">
        <v>66</v>
      </c>
      <c r="B636" s="7">
        <f>SUM(B637:B645,)</f>
        <v>59985.321428571595</v>
      </c>
      <c r="C636" s="7">
        <f t="shared" ref="C636:D636" si="48">SUM(C637:C645,)</f>
        <v>20428.714285714261</v>
      </c>
      <c r="D636" s="7">
        <f t="shared" si="48"/>
        <v>39557</v>
      </c>
      <c r="E636" s="1">
        <f t="shared" si="44"/>
        <v>0.659444661759512</v>
      </c>
    </row>
    <row r="637" spans="1:5" x14ac:dyDescent="0.3">
      <c r="A637">
        <v>2019</v>
      </c>
      <c r="B637" s="2">
        <v>6991</v>
      </c>
      <c r="C637" s="2">
        <v>3369</v>
      </c>
      <c r="D637" s="2">
        <v>3622</v>
      </c>
      <c r="E637" s="1">
        <f t="shared" si="44"/>
        <v>0.51809469317694179</v>
      </c>
    </row>
    <row r="638" spans="1:5" x14ac:dyDescent="0.3">
      <c r="A638">
        <v>2020</v>
      </c>
      <c r="B638" s="2">
        <v>11645</v>
      </c>
      <c r="C638" s="2">
        <v>3082</v>
      </c>
      <c r="D638" s="2">
        <v>8563</v>
      </c>
      <c r="E638" s="1">
        <f t="shared" si="44"/>
        <v>0.73533705452984111</v>
      </c>
    </row>
    <row r="639" spans="1:5" x14ac:dyDescent="0.3">
      <c r="A639">
        <v>2021</v>
      </c>
      <c r="B639" s="2">
        <v>6193</v>
      </c>
      <c r="C639" s="2">
        <v>1354</v>
      </c>
      <c r="D639" s="2">
        <v>4839</v>
      </c>
      <c r="E639" s="1">
        <f t="shared" si="44"/>
        <v>0.78136605845309215</v>
      </c>
    </row>
    <row r="640" spans="1:5" x14ac:dyDescent="0.3">
      <c r="A640">
        <v>2022</v>
      </c>
      <c r="B640" s="2">
        <v>6217</v>
      </c>
      <c r="C640" s="2">
        <v>2193</v>
      </c>
      <c r="D640" s="2">
        <v>4024</v>
      </c>
      <c r="E640" s="1">
        <f t="shared" si="44"/>
        <v>0.64725751970403733</v>
      </c>
    </row>
    <row r="641" spans="1:10" x14ac:dyDescent="0.3">
      <c r="A641">
        <v>2023</v>
      </c>
      <c r="B641" s="2">
        <v>6236</v>
      </c>
      <c r="C641" s="2">
        <v>2289</v>
      </c>
      <c r="D641" s="2">
        <v>3947</v>
      </c>
      <c r="E641" s="1">
        <f t="shared" si="44"/>
        <v>0.63293778062860806</v>
      </c>
    </row>
    <row r="642" spans="1:10" x14ac:dyDescent="0.3">
      <c r="A642">
        <v>2024</v>
      </c>
      <c r="B642" s="2">
        <v>6445</v>
      </c>
      <c r="C642" s="2">
        <v>2414</v>
      </c>
      <c r="D642" s="2">
        <v>4031</v>
      </c>
      <c r="E642" s="1">
        <f t="shared" si="44"/>
        <v>0.6254460822342901</v>
      </c>
    </row>
    <row r="643" spans="1:10" x14ac:dyDescent="0.3">
      <c r="A643">
        <v>2025</v>
      </c>
      <c r="B643" s="2">
        <v>6149</v>
      </c>
      <c r="C643" s="2">
        <v>2180</v>
      </c>
      <c r="D643" s="2">
        <v>3969</v>
      </c>
      <c r="E643" s="1">
        <f t="shared" si="44"/>
        <v>0.64547080826150594</v>
      </c>
    </row>
    <row r="644" spans="1:10" x14ac:dyDescent="0.3">
      <c r="A644">
        <v>2026</v>
      </c>
      <c r="B644" s="2">
        <f>_xlfn.FORECAST.LINEAR(A644,B637:B643,A637:A643)</f>
        <v>5284.714285714319</v>
      </c>
      <c r="C644" s="2">
        <f>_xlfn.FORECAST.LINEAR(A644,C637:C643,A637:A643)</f>
        <v>1844.7142857142608</v>
      </c>
      <c r="D644" s="2">
        <v>3440</v>
      </c>
      <c r="E644" s="1">
        <f t="shared" si="44"/>
        <v>0.65093396047900542</v>
      </c>
    </row>
    <row r="645" spans="1:10" x14ac:dyDescent="0.3">
      <c r="A645">
        <v>2027</v>
      </c>
      <c r="B645" s="2">
        <f>_xlfn.FORECAST.LINEAR(A645,B637:B644,A637:A644)</f>
        <v>4824.6071428572759</v>
      </c>
      <c r="C645" s="2">
        <f>_xlfn.FORECAST.LINEAR(A645,C637:C644,A637:A644)</f>
        <v>1703</v>
      </c>
      <c r="D645" s="2">
        <v>3122</v>
      </c>
      <c r="E645" s="1">
        <f t="shared" si="44"/>
        <v>0.64709931970773038</v>
      </c>
    </row>
    <row r="646" spans="1:10" x14ac:dyDescent="0.3">
      <c r="A646" s="6" t="s">
        <v>67</v>
      </c>
      <c r="B646" s="7">
        <f>SUM(B647:B655)</f>
        <v>102914.35714285728</v>
      </c>
      <c r="C646" s="7">
        <f t="shared" ref="C646:D646" si="49">SUM(C647:C655)</f>
        <v>24671.571428571362</v>
      </c>
      <c r="D646" s="7">
        <f t="shared" si="49"/>
        <v>78243</v>
      </c>
      <c r="E646" s="1">
        <f t="shared" si="44"/>
        <v>0.76027293151517705</v>
      </c>
    </row>
    <row r="647" spans="1:10" x14ac:dyDescent="0.3">
      <c r="A647">
        <v>2019</v>
      </c>
      <c r="B647" s="2">
        <v>4641</v>
      </c>
      <c r="C647" s="2">
        <v>2906</v>
      </c>
      <c r="D647" s="2">
        <v>1735</v>
      </c>
      <c r="E647" s="1">
        <f t="shared" si="44"/>
        <v>0.37384184443007973</v>
      </c>
    </row>
    <row r="648" spans="1:10" x14ac:dyDescent="0.3">
      <c r="A648">
        <v>2020</v>
      </c>
      <c r="B648" s="2">
        <v>9227</v>
      </c>
      <c r="C648" s="2">
        <v>4031</v>
      </c>
      <c r="D648" s="2">
        <v>5196</v>
      </c>
      <c r="E648" s="1">
        <f t="shared" si="44"/>
        <v>0.56312994472743039</v>
      </c>
    </row>
    <row r="649" spans="1:10" x14ac:dyDescent="0.3">
      <c r="A649">
        <v>2021</v>
      </c>
      <c r="B649" s="2">
        <v>15672</v>
      </c>
      <c r="C649" s="2">
        <v>5223</v>
      </c>
      <c r="D649" s="2">
        <v>10449</v>
      </c>
      <c r="E649" s="1">
        <f t="shared" si="44"/>
        <v>0.66673047473200608</v>
      </c>
    </row>
    <row r="650" spans="1:10" x14ac:dyDescent="0.3">
      <c r="A650">
        <v>2022</v>
      </c>
      <c r="B650" s="2">
        <v>4658</v>
      </c>
      <c r="C650" s="2">
        <v>3131</v>
      </c>
      <c r="D650" s="2">
        <v>1527</v>
      </c>
      <c r="E650" s="1">
        <f t="shared" si="44"/>
        <v>0.32782310004293691</v>
      </c>
    </row>
    <row r="651" spans="1:10" x14ac:dyDescent="0.3">
      <c r="A651">
        <v>2023</v>
      </c>
      <c r="B651" s="2">
        <v>13161</v>
      </c>
      <c r="C651" s="2">
        <v>3993</v>
      </c>
      <c r="D651" s="2">
        <v>9168</v>
      </c>
      <c r="E651" s="1">
        <f t="shared" si="44"/>
        <v>0.6966036015500342</v>
      </c>
    </row>
    <row r="652" spans="1:10" x14ac:dyDescent="0.3">
      <c r="A652">
        <v>2024</v>
      </c>
      <c r="B652" s="2">
        <v>17084</v>
      </c>
      <c r="C652" s="2">
        <v>1459</v>
      </c>
      <c r="D652" s="2">
        <v>15625</v>
      </c>
      <c r="E652" s="1">
        <f t="shared" si="44"/>
        <v>0.914598454694451</v>
      </c>
    </row>
    <row r="653" spans="1:10" x14ac:dyDescent="0.3">
      <c r="A653">
        <v>2025</v>
      </c>
      <c r="B653" s="2">
        <v>9018</v>
      </c>
      <c r="C653" s="2">
        <v>1268</v>
      </c>
      <c r="D653" s="2">
        <v>7750</v>
      </c>
      <c r="E653" s="1">
        <f t="shared" si="44"/>
        <v>0.85939232645819474</v>
      </c>
    </row>
    <row r="654" spans="1:10" x14ac:dyDescent="0.3">
      <c r="A654">
        <v>2026</v>
      </c>
      <c r="B654" s="2">
        <f>_xlfn.FORECAST.LINEAR(A654,B647:B653,A647:A653)</f>
        <v>14256.428571428638</v>
      </c>
      <c r="C654" s="2">
        <f>_xlfn.FORECAST.LINEAR(A654,C647:C653,A647:A653)</f>
        <v>1531.8571428570431</v>
      </c>
      <c r="D654" s="2">
        <v>12725</v>
      </c>
      <c r="E654" s="1">
        <f t="shared" si="44"/>
        <v>0.89257978856655729</v>
      </c>
    </row>
    <row r="655" spans="1:10" x14ac:dyDescent="0.3">
      <c r="A655">
        <v>2027</v>
      </c>
      <c r="B655" s="2">
        <f>_xlfn.FORECAST.LINEAR(A655,B647:B654,A647:A654)</f>
        <v>15196.928571428638</v>
      </c>
      <c r="C655" s="2">
        <f>_xlfn.FORECAST.LINEAR(A655,C647:C654,A647:A654)</f>
        <v>1128.714285714319</v>
      </c>
      <c r="D655" s="2">
        <v>14068</v>
      </c>
      <c r="E655" s="1">
        <f t="shared" si="44"/>
        <v>0.92571337253297958</v>
      </c>
    </row>
    <row r="656" spans="1:10" ht="14.4" customHeight="1" x14ac:dyDescent="0.3">
      <c r="A656" s="13" t="s">
        <v>84</v>
      </c>
      <c r="B656" s="7">
        <f>SUM(B657:B664)</f>
        <v>115450.17142857192</v>
      </c>
      <c r="C656" s="7">
        <f t="shared" ref="C656:D656" si="50">SUM(C657:C664)</f>
        <v>16934.552380952053</v>
      </c>
      <c r="D656" s="7">
        <f t="shared" si="50"/>
        <v>98515.619047619868</v>
      </c>
      <c r="E656" s="1">
        <f t="shared" si="44"/>
        <v>0.85331721753718381</v>
      </c>
      <c r="G656" s="68" t="s">
        <v>184</v>
      </c>
      <c r="H656" s="68"/>
      <c r="I656" s="68"/>
      <c r="J656" s="68"/>
    </row>
    <row r="657" spans="1:10" x14ac:dyDescent="0.3">
      <c r="A657">
        <v>2020</v>
      </c>
      <c r="B657" s="2">
        <v>20974</v>
      </c>
      <c r="C657" s="2">
        <v>4825</v>
      </c>
      <c r="D657" s="2">
        <v>16149</v>
      </c>
      <c r="E657" s="1">
        <f t="shared" si="44"/>
        <v>0.76995327548393244</v>
      </c>
      <c r="G657" s="68"/>
      <c r="H657" s="68"/>
      <c r="I657" s="68"/>
      <c r="J657" s="68"/>
    </row>
    <row r="658" spans="1:10" ht="14.4" customHeight="1" x14ac:dyDescent="0.3">
      <c r="A658">
        <v>2021</v>
      </c>
      <c r="B658" s="2">
        <v>28804</v>
      </c>
      <c r="C658" s="2">
        <v>5422</v>
      </c>
      <c r="D658" s="2">
        <v>23382</v>
      </c>
      <c r="E658" s="1">
        <f t="shared" si="44"/>
        <v>0.81176225524232748</v>
      </c>
      <c r="G658" s="68"/>
      <c r="H658" s="68"/>
      <c r="I658" s="68"/>
      <c r="J658" s="68"/>
    </row>
    <row r="659" spans="1:10" x14ac:dyDescent="0.3">
      <c r="A659">
        <v>2022</v>
      </c>
      <c r="B659" s="2">
        <v>1944</v>
      </c>
      <c r="C659" s="2">
        <v>846</v>
      </c>
      <c r="D659" s="2">
        <v>1098</v>
      </c>
      <c r="E659" s="1">
        <f t="shared" si="44"/>
        <v>0.56481481481481477</v>
      </c>
      <c r="G659" s="68"/>
      <c r="H659" s="68"/>
      <c r="I659" s="68"/>
      <c r="J659" s="68"/>
    </row>
    <row r="660" spans="1:10" ht="14.4" customHeight="1" x14ac:dyDescent="0.3">
      <c r="A660">
        <v>2023</v>
      </c>
      <c r="B660" s="2">
        <v>8206</v>
      </c>
      <c r="C660" s="2">
        <v>1210</v>
      </c>
      <c r="D660" s="2">
        <v>6996</v>
      </c>
      <c r="E660" s="1">
        <f t="shared" ref="E660:E743" si="51">D660/B660</f>
        <v>0.85254691689008044</v>
      </c>
      <c r="G660" s="68"/>
      <c r="H660" s="68"/>
      <c r="I660" s="68"/>
      <c r="J660" s="68"/>
    </row>
    <row r="661" spans="1:10" x14ac:dyDescent="0.3">
      <c r="A661">
        <v>2024</v>
      </c>
      <c r="B661" s="2">
        <v>18379</v>
      </c>
      <c r="C661" s="2">
        <v>2968</v>
      </c>
      <c r="D661" s="2">
        <v>15411</v>
      </c>
      <c r="E661" s="1">
        <f t="shared" si="51"/>
        <v>0.83851134446923115</v>
      </c>
      <c r="G661" s="68"/>
      <c r="H661" s="68"/>
      <c r="I661" s="68"/>
      <c r="J661" s="68"/>
    </row>
    <row r="662" spans="1:10" x14ac:dyDescent="0.3">
      <c r="A662">
        <v>2025</v>
      </c>
      <c r="B662" s="2">
        <v>16448</v>
      </c>
      <c r="C662" s="2">
        <v>1489</v>
      </c>
      <c r="D662" s="2">
        <v>14959</v>
      </c>
      <c r="E662" s="1">
        <f t="shared" si="51"/>
        <v>0.90947227626459148</v>
      </c>
      <c r="G662" s="19" t="s">
        <v>138</v>
      </c>
      <c r="H662" s="19" t="s">
        <v>128</v>
      </c>
      <c r="I662" s="19" t="s">
        <v>129</v>
      </c>
      <c r="J662" s="19" t="s">
        <v>89</v>
      </c>
    </row>
    <row r="663" spans="1:10" x14ac:dyDescent="0.3">
      <c r="A663">
        <v>2026</v>
      </c>
      <c r="B663" s="2">
        <f>_xlfn.FORECAST.LINEAR(A663,B657:B662,A657:A662)</f>
        <v>11028.200000000186</v>
      </c>
      <c r="C663" s="2">
        <f>_xlfn.FORECAST.LINEAR(A663,C657:C662,A657:A662)</f>
        <v>425.53333333320916</v>
      </c>
      <c r="D663" s="2">
        <f>B663-C663</f>
        <v>10602.666666666977</v>
      </c>
      <c r="E663" s="1">
        <f t="shared" si="51"/>
        <v>0.96141407180381189</v>
      </c>
      <c r="F663">
        <v>2026</v>
      </c>
      <c r="G663" s="21">
        <f>B662*(0.79)</f>
        <v>12993.92</v>
      </c>
      <c r="H663" s="21">
        <f>C662*(0.79)</f>
        <v>1176.31</v>
      </c>
      <c r="I663" s="21">
        <f>G663-H663</f>
        <v>11817.61</v>
      </c>
      <c r="J663" s="1">
        <f>I663/G663</f>
        <v>0.90947227626459148</v>
      </c>
    </row>
    <row r="664" spans="1:10" x14ac:dyDescent="0.3">
      <c r="A664">
        <v>2027</v>
      </c>
      <c r="B664" s="2">
        <f>_xlfn.FORECAST.LINEAR(A664,B657:B663,A657:A663)</f>
        <v>9666.9714285717346</v>
      </c>
      <c r="C664" s="2">
        <f>_xlfn.FORECAST.LINEAR(A664,C657:C663,A657:A663)</f>
        <v>-250.98095238115638</v>
      </c>
      <c r="D664" s="2">
        <f>B664-C664</f>
        <v>9917.952380952891</v>
      </c>
      <c r="E664" s="1">
        <f t="shared" si="51"/>
        <v>1.0259627282686856</v>
      </c>
      <c r="F664">
        <v>2027</v>
      </c>
      <c r="G664" s="20">
        <f>G663*(0.59)</f>
        <v>7666.4128000000001</v>
      </c>
      <c r="H664" s="20">
        <f>H663*(0.59)</f>
        <v>694.02289999999994</v>
      </c>
      <c r="I664" s="21">
        <f>G664-H664</f>
        <v>6972.3899000000001</v>
      </c>
      <c r="J664" s="1">
        <f>I664/G664</f>
        <v>0.90947227626459148</v>
      </c>
    </row>
    <row r="665" spans="1:10" x14ac:dyDescent="0.3">
      <c r="A665" s="6" t="s">
        <v>68</v>
      </c>
      <c r="B665" s="7">
        <f>SUM(B666:B674)</f>
        <v>211386.21428571432</v>
      </c>
      <c r="C665" s="7">
        <f t="shared" ref="C665:D665" si="52">SUM(C666:C674)</f>
        <v>49872.857142857218</v>
      </c>
      <c r="D665" s="7">
        <f t="shared" si="52"/>
        <v>161513.3571428571</v>
      </c>
      <c r="E665" s="1">
        <f t="shared" si="51"/>
        <v>0.76406759867770779</v>
      </c>
    </row>
    <row r="666" spans="1:10" x14ac:dyDescent="0.3">
      <c r="A666">
        <v>2019</v>
      </c>
      <c r="B666" s="2">
        <v>14336</v>
      </c>
      <c r="C666" s="2">
        <v>3543</v>
      </c>
      <c r="D666" s="2">
        <v>10793</v>
      </c>
      <c r="E666" s="1">
        <f t="shared" si="51"/>
        <v>0.7528599330357143</v>
      </c>
    </row>
    <row r="667" spans="1:10" x14ac:dyDescent="0.3">
      <c r="A667">
        <v>2020</v>
      </c>
      <c r="B667" s="2">
        <v>33173</v>
      </c>
      <c r="C667" s="2">
        <v>4346</v>
      </c>
      <c r="D667" s="2">
        <v>28827</v>
      </c>
      <c r="E667" s="1">
        <f t="shared" si="51"/>
        <v>0.86898984113586353</v>
      </c>
    </row>
    <row r="668" spans="1:10" x14ac:dyDescent="0.3">
      <c r="A668">
        <v>2021</v>
      </c>
      <c r="B668" s="2">
        <v>30305</v>
      </c>
      <c r="C668" s="2">
        <v>4839</v>
      </c>
      <c r="D668" s="2">
        <v>25466</v>
      </c>
      <c r="E668" s="1">
        <f t="shared" si="51"/>
        <v>0.84032337898036624</v>
      </c>
    </row>
    <row r="669" spans="1:10" x14ac:dyDescent="0.3">
      <c r="A669">
        <v>2022</v>
      </c>
      <c r="B669" s="2">
        <v>28613</v>
      </c>
      <c r="C669" s="2">
        <v>8343</v>
      </c>
      <c r="D669" s="2">
        <v>20270</v>
      </c>
      <c r="E669" s="1">
        <f t="shared" si="51"/>
        <v>0.70841924999126271</v>
      </c>
    </row>
    <row r="670" spans="1:10" x14ac:dyDescent="0.3">
      <c r="A670">
        <v>2023</v>
      </c>
      <c r="B670" s="2">
        <v>23120</v>
      </c>
      <c r="C670" s="2">
        <v>7743</v>
      </c>
      <c r="D670" s="2">
        <v>15377</v>
      </c>
      <c r="E670" s="1">
        <f t="shared" si="51"/>
        <v>0.66509515570934252</v>
      </c>
    </row>
    <row r="671" spans="1:10" x14ac:dyDescent="0.3">
      <c r="A671">
        <v>2024</v>
      </c>
      <c r="B671" s="2">
        <v>13524</v>
      </c>
      <c r="C671" s="2">
        <v>3830</v>
      </c>
      <c r="D671" s="2">
        <v>9694</v>
      </c>
      <c r="E671" s="1">
        <f t="shared" si="51"/>
        <v>0.71679976338361429</v>
      </c>
    </row>
    <row r="672" spans="1:10" x14ac:dyDescent="0.3">
      <c r="A672">
        <v>2025</v>
      </c>
      <c r="B672" s="2">
        <v>24979</v>
      </c>
      <c r="C672" s="2">
        <v>4763</v>
      </c>
      <c r="D672" s="2">
        <v>20216</v>
      </c>
      <c r="E672" s="1">
        <f t="shared" si="51"/>
        <v>0.80931982865607111</v>
      </c>
    </row>
    <row r="673" spans="1:10" x14ac:dyDescent="0.3">
      <c r="A673">
        <v>2026</v>
      </c>
      <c r="B673" s="2">
        <f>_xlfn.FORECAST.LINEAR(A673,B666:B672,A666:A672)</f>
        <v>21928</v>
      </c>
      <c r="C673" s="2">
        <f>_xlfn.FORECAST.LINEAR(A673,C666:C672,A666:A672)</f>
        <v>6134.1428571428987</v>
      </c>
      <c r="D673" s="2">
        <f>B673-C673</f>
        <v>15793.857142857101</v>
      </c>
      <c r="E673" s="1">
        <f t="shared" si="51"/>
        <v>0.72025981133058647</v>
      </c>
    </row>
    <row r="674" spans="1:10" x14ac:dyDescent="0.3">
      <c r="A674">
        <v>2027</v>
      </c>
      <c r="B674" s="2">
        <f>_xlfn.FORECAST.LINEAR(A674,B666:B673,A666:A673)</f>
        <v>21408.214285714319</v>
      </c>
      <c r="C674" s="2">
        <f>_xlfn.FORECAST.LINEAR(A674,C666:C673,A666:A673)</f>
        <v>6331.714285714319</v>
      </c>
      <c r="D674" s="2">
        <f>B674-C674</f>
        <v>15076.5</v>
      </c>
      <c r="E674" s="1">
        <f t="shared" si="51"/>
        <v>0.70423902707572084</v>
      </c>
    </row>
    <row r="675" spans="1:10" ht="14.4" customHeight="1" x14ac:dyDescent="0.3">
      <c r="A675" s="13" t="s">
        <v>69</v>
      </c>
      <c r="B675" s="7">
        <f>SUM(B676:B683)</f>
        <v>67555.888198757544</v>
      </c>
      <c r="C675" s="7">
        <f t="shared" ref="C675:D675" si="53">SUM(C676:C683)</f>
        <v>26704.136645963416</v>
      </c>
      <c r="D675" s="7">
        <f t="shared" si="53"/>
        <v>40851.751552794129</v>
      </c>
      <c r="E675" s="1">
        <f t="shared" si="51"/>
        <v>0.60471044999961165</v>
      </c>
      <c r="G675" s="68" t="s">
        <v>184</v>
      </c>
      <c r="H675" s="68"/>
      <c r="I675" s="68"/>
      <c r="J675" s="68"/>
    </row>
    <row r="676" spans="1:10" x14ac:dyDescent="0.3">
      <c r="A676">
        <v>2019</v>
      </c>
      <c r="B676" s="2">
        <v>19281</v>
      </c>
      <c r="C676" s="2">
        <v>11869</v>
      </c>
      <c r="D676" s="2">
        <v>7412</v>
      </c>
      <c r="E676" s="1">
        <f t="shared" si="51"/>
        <v>0.38441989523364972</v>
      </c>
      <c r="G676" s="68"/>
      <c r="H676" s="68"/>
      <c r="I676" s="68"/>
      <c r="J676" s="68"/>
    </row>
    <row r="677" spans="1:10" x14ac:dyDescent="0.3">
      <c r="A677">
        <v>2020</v>
      </c>
      <c r="B677" s="2">
        <v>10419</v>
      </c>
      <c r="C677" s="2">
        <v>4401</v>
      </c>
      <c r="D677" s="2">
        <v>6018</v>
      </c>
      <c r="E677" s="1">
        <f t="shared" si="51"/>
        <v>0.57759861790958822</v>
      </c>
      <c r="G677" s="68"/>
      <c r="H677" s="68"/>
      <c r="I677" s="68"/>
      <c r="J677" s="68"/>
    </row>
    <row r="678" spans="1:10" ht="14.4" customHeight="1" x14ac:dyDescent="0.3">
      <c r="A678">
        <v>2022</v>
      </c>
      <c r="B678" s="2">
        <v>4564</v>
      </c>
      <c r="C678" s="2">
        <v>3012</v>
      </c>
      <c r="D678" s="2">
        <v>1552</v>
      </c>
      <c r="E678" s="1">
        <f t="shared" si="51"/>
        <v>0.34005258545135847</v>
      </c>
      <c r="G678" s="68"/>
      <c r="H678" s="68"/>
      <c r="I678" s="68"/>
      <c r="J678" s="68"/>
    </row>
    <row r="679" spans="1:10" x14ac:dyDescent="0.3">
      <c r="A679">
        <v>2023</v>
      </c>
      <c r="B679" s="2">
        <v>7749</v>
      </c>
      <c r="C679" s="2">
        <v>1241</v>
      </c>
      <c r="D679" s="2">
        <v>6508</v>
      </c>
      <c r="E679" s="1">
        <f t="shared" si="51"/>
        <v>0.83985030326493737</v>
      </c>
      <c r="G679" s="68"/>
      <c r="H679" s="68"/>
      <c r="I679" s="68"/>
      <c r="J679" s="68"/>
    </row>
    <row r="680" spans="1:10" x14ac:dyDescent="0.3">
      <c r="A680">
        <v>2024</v>
      </c>
      <c r="B680" s="2">
        <v>11356</v>
      </c>
      <c r="C680" s="2">
        <v>1707</v>
      </c>
      <c r="D680" s="2">
        <v>9649</v>
      </c>
      <c r="E680" s="1">
        <f t="shared" si="51"/>
        <v>0.84968298696724198</v>
      </c>
      <c r="G680" s="68"/>
      <c r="H680" s="68"/>
      <c r="I680" s="68"/>
      <c r="J680" s="68"/>
    </row>
    <row r="681" spans="1:10" x14ac:dyDescent="0.3">
      <c r="A681">
        <v>2025</v>
      </c>
      <c r="B681" s="2">
        <v>6602</v>
      </c>
      <c r="C681" s="2">
        <v>4937</v>
      </c>
      <c r="D681" s="2">
        <v>1665</v>
      </c>
      <c r="E681" s="1">
        <f t="shared" si="51"/>
        <v>0.25219630415025751</v>
      </c>
      <c r="G681" s="19" t="s">
        <v>138</v>
      </c>
      <c r="H681" s="19" t="s">
        <v>128</v>
      </c>
      <c r="I681" s="19" t="s">
        <v>129</v>
      </c>
      <c r="J681" s="19" t="s">
        <v>89</v>
      </c>
    </row>
    <row r="682" spans="1:10" x14ac:dyDescent="0.3">
      <c r="A682">
        <v>2026</v>
      </c>
      <c r="B682" s="2">
        <f>_xlfn.FORECAST.LINEAR(A682,B676:B681,A676:A681)</f>
        <v>4508.1428571427241</v>
      </c>
      <c r="C682" s="2">
        <f>_xlfn.FORECAST.LINEAR(A682,C676:C681,A676:A681)</f>
        <v>317.71428571455181</v>
      </c>
      <c r="D682" s="2">
        <f>B682-C682</f>
        <v>4190.4285714281723</v>
      </c>
      <c r="E682" s="1">
        <f t="shared" si="51"/>
        <v>0.92952435275843937</v>
      </c>
      <c r="F682">
        <v>2026</v>
      </c>
      <c r="G682" s="21">
        <f>B681*(0.79)</f>
        <v>5215.58</v>
      </c>
      <c r="H682" s="21">
        <f>C681*(0.79)</f>
        <v>3900.23</v>
      </c>
      <c r="I682" s="21">
        <f>G682-H682</f>
        <v>1315.35</v>
      </c>
      <c r="J682" s="22">
        <f>I682/G682</f>
        <v>0.25219630415025751</v>
      </c>
    </row>
    <row r="683" spans="1:10" x14ac:dyDescent="0.3">
      <c r="A683">
        <v>2027</v>
      </c>
      <c r="B683" s="2">
        <f>_xlfn.FORECAST.LINEAR(A683,B676:B682,A676:A682)</f>
        <v>3076.7453416148201</v>
      </c>
      <c r="C683" s="2">
        <f>_xlfn.FORECAST.LINEAR(A683,C676:C682,A676:A682)</f>
        <v>-780.5776397511363</v>
      </c>
      <c r="D683" s="2">
        <f>B683-C683</f>
        <v>3857.3229813659564</v>
      </c>
      <c r="E683" s="1">
        <f t="shared" si="51"/>
        <v>1.2537023877775508</v>
      </c>
      <c r="F683">
        <v>2027</v>
      </c>
      <c r="G683" s="20">
        <f>G682*(0.59)</f>
        <v>3077.1922</v>
      </c>
      <c r="H683" s="20">
        <f>H682*(0.59)</f>
        <v>2301.1356999999998</v>
      </c>
      <c r="I683" s="21">
        <f>G683-H683</f>
        <v>776.05650000000014</v>
      </c>
      <c r="J683" s="22">
        <f>I683/G683</f>
        <v>0.25219630415025757</v>
      </c>
    </row>
    <row r="684" spans="1:10" ht="14.4" customHeight="1" x14ac:dyDescent="0.3">
      <c r="A684" s="13" t="s">
        <v>70</v>
      </c>
      <c r="B684" s="7">
        <f>SUM(B685:B693)</f>
        <v>1230332.4642857015</v>
      </c>
      <c r="C684" s="7">
        <f>SUM(C685:C693)</f>
        <v>412657.0714285709</v>
      </c>
      <c r="D684" s="7">
        <f>SUM(D685:D693)</f>
        <v>817675.39285713062</v>
      </c>
      <c r="E684" s="1">
        <f t="shared" si="51"/>
        <v>0.66459710411027095</v>
      </c>
      <c r="G684" s="68" t="s">
        <v>185</v>
      </c>
      <c r="H684" s="68"/>
      <c r="I684" s="68"/>
      <c r="J684" s="68"/>
    </row>
    <row r="685" spans="1:10" x14ac:dyDescent="0.3">
      <c r="A685">
        <v>2019</v>
      </c>
      <c r="B685" s="2">
        <v>226019</v>
      </c>
      <c r="C685" s="2">
        <v>49614</v>
      </c>
      <c r="D685" s="2">
        <v>176405</v>
      </c>
      <c r="E685" s="1">
        <f t="shared" si="51"/>
        <v>0.780487481140966</v>
      </c>
      <c r="G685" s="68"/>
      <c r="H685" s="68"/>
      <c r="I685" s="68"/>
      <c r="J685" s="68"/>
    </row>
    <row r="686" spans="1:10" x14ac:dyDescent="0.3">
      <c r="A686">
        <v>2020</v>
      </c>
      <c r="B686" s="2">
        <v>273231</v>
      </c>
      <c r="C686" s="2">
        <v>81957</v>
      </c>
      <c r="D686" s="2">
        <v>191274</v>
      </c>
      <c r="E686" s="1">
        <f t="shared" si="51"/>
        <v>0.70004501685387088</v>
      </c>
      <c r="G686" s="68"/>
      <c r="H686" s="68"/>
      <c r="I686" s="68"/>
      <c r="J686" s="68"/>
    </row>
    <row r="687" spans="1:10" x14ac:dyDescent="0.3">
      <c r="A687">
        <v>2021</v>
      </c>
      <c r="B687" s="2">
        <v>240816</v>
      </c>
      <c r="C687" s="2">
        <v>63105</v>
      </c>
      <c r="D687" s="2">
        <v>177711</v>
      </c>
      <c r="E687" s="1">
        <f t="shared" si="51"/>
        <v>0.73795345824197722</v>
      </c>
      <c r="G687" s="68"/>
      <c r="H687" s="68"/>
      <c r="I687" s="68"/>
      <c r="J687" s="68"/>
    </row>
    <row r="688" spans="1:10" x14ac:dyDescent="0.3">
      <c r="A688">
        <v>2022</v>
      </c>
      <c r="B688" s="2">
        <v>201763</v>
      </c>
      <c r="C688" s="2">
        <v>74669</v>
      </c>
      <c r="D688" s="2">
        <v>127094</v>
      </c>
      <c r="E688" s="1">
        <f t="shared" si="51"/>
        <v>0.6299172791839931</v>
      </c>
      <c r="G688" s="68"/>
      <c r="H688" s="68"/>
      <c r="I688" s="68"/>
      <c r="J688" s="68"/>
    </row>
    <row r="689" spans="1:10" x14ac:dyDescent="0.3">
      <c r="A689">
        <v>2023</v>
      </c>
      <c r="B689" s="2">
        <v>143636</v>
      </c>
      <c r="C689" s="2">
        <v>57317</v>
      </c>
      <c r="D689" s="2">
        <v>86319</v>
      </c>
      <c r="E689" s="1">
        <f t="shared" si="51"/>
        <v>0.6009565847002144</v>
      </c>
      <c r="G689" s="68"/>
      <c r="H689" s="68"/>
      <c r="I689" s="68"/>
      <c r="J689" s="68"/>
    </row>
    <row r="690" spans="1:10" x14ac:dyDescent="0.3">
      <c r="A690">
        <v>2024</v>
      </c>
      <c r="B690" s="2">
        <v>68447</v>
      </c>
      <c r="C690" s="2">
        <v>22649</v>
      </c>
      <c r="D690" s="2">
        <v>45798</v>
      </c>
      <c r="E690" s="1">
        <f t="shared" si="51"/>
        <v>0.66910164068549394</v>
      </c>
      <c r="G690" s="68"/>
      <c r="H690" s="68"/>
      <c r="I690" s="68"/>
      <c r="J690" s="68"/>
    </row>
    <row r="691" spans="1:10" x14ac:dyDescent="0.3">
      <c r="A691">
        <v>2025</v>
      </c>
      <c r="B691" s="2">
        <v>56694</v>
      </c>
      <c r="C691" s="2">
        <v>22832</v>
      </c>
      <c r="D691" s="2">
        <v>33862</v>
      </c>
      <c r="E691" s="1">
        <f t="shared" si="51"/>
        <v>0.5972766077539069</v>
      </c>
      <c r="G691" s="19" t="s">
        <v>138</v>
      </c>
      <c r="H691" s="19" t="s">
        <v>128</v>
      </c>
      <c r="I691" s="19" t="s">
        <v>134</v>
      </c>
      <c r="J691" s="19" t="s">
        <v>89</v>
      </c>
    </row>
    <row r="692" spans="1:10" x14ac:dyDescent="0.3">
      <c r="A692">
        <v>2026</v>
      </c>
      <c r="B692" s="2">
        <f>_xlfn.FORECAST.LINEAR(A692,B685:B691,A685:A691)</f>
        <v>27983.285714283586</v>
      </c>
      <c r="C692" s="2">
        <f>_xlfn.FORECAST.LINEAR(A692,C685:C691,A685:A691)</f>
        <v>23913.285714285448</v>
      </c>
      <c r="D692" s="2">
        <f>B692-C692</f>
        <v>4069.9999999981374</v>
      </c>
      <c r="E692" s="1">
        <f t="shared" si="51"/>
        <v>0.14544396399886222</v>
      </c>
      <c r="F692">
        <v>2026</v>
      </c>
      <c r="G692" s="20">
        <f>B691*(0.79)</f>
        <v>44788.26</v>
      </c>
      <c r="H692" s="20">
        <f>C691*(0.79)</f>
        <v>18037.280000000002</v>
      </c>
      <c r="I692" s="20">
        <f>G692-H692</f>
        <v>26750.98</v>
      </c>
      <c r="J692" s="1">
        <f>I692/G692</f>
        <v>0.5972766077539069</v>
      </c>
    </row>
    <row r="693" spans="1:10" x14ac:dyDescent="0.3">
      <c r="A693">
        <v>2027</v>
      </c>
      <c r="B693" s="2">
        <f>_xlfn.FORECAST.LINEAR(A693,B685:B692,A685:A692)</f>
        <v>-8256.8214285820723</v>
      </c>
      <c r="C693" s="2">
        <f>_xlfn.FORECAST.LINEAR(A693,C685:C692,A685:A692)</f>
        <v>16600.785714285448</v>
      </c>
      <c r="D693" s="2">
        <f>B693-C693</f>
        <v>-24857.60714286752</v>
      </c>
      <c r="E693" s="1">
        <f t="shared" si="51"/>
        <v>3.0105540440561844</v>
      </c>
      <c r="F693">
        <v>2027</v>
      </c>
      <c r="G693" s="20">
        <f>B691*(0.59)</f>
        <v>33449.46</v>
      </c>
      <c r="H693" s="20">
        <f>C691*(0.59)</f>
        <v>13470.88</v>
      </c>
      <c r="I693" s="20">
        <f>G693-H693</f>
        <v>19978.580000000002</v>
      </c>
      <c r="J693" s="1">
        <f>I693/G693</f>
        <v>0.59727660775390701</v>
      </c>
    </row>
    <row r="694" spans="1:10" x14ac:dyDescent="0.3">
      <c r="A694" s="6" t="s">
        <v>71</v>
      </c>
      <c r="B694" s="7">
        <f>SUM(B695:B701)</f>
        <v>206198.14150943374</v>
      </c>
      <c r="C694" s="7">
        <f t="shared" ref="C694:D694" si="54">SUM(C695:C701)</f>
        <v>53683.245283018856</v>
      </c>
      <c r="D694" s="7">
        <f t="shared" si="54"/>
        <v>152514.89622641489</v>
      </c>
      <c r="E694" s="1">
        <f t="shared" si="51"/>
        <v>0.73965213803557583</v>
      </c>
    </row>
    <row r="695" spans="1:10" x14ac:dyDescent="0.3">
      <c r="A695">
        <v>2019</v>
      </c>
      <c r="B695" s="2">
        <v>12395</v>
      </c>
      <c r="C695" s="2">
        <v>4681</v>
      </c>
      <c r="D695" s="2">
        <v>7714</v>
      </c>
      <c r="E695" s="1">
        <f t="shared" si="51"/>
        <v>0.62234772085518353</v>
      </c>
    </row>
    <row r="696" spans="1:10" x14ac:dyDescent="0.3">
      <c r="A696">
        <v>2022</v>
      </c>
      <c r="B696" s="2">
        <v>40784</v>
      </c>
      <c r="C696" s="2">
        <v>10286</v>
      </c>
      <c r="D696" s="2">
        <v>30498</v>
      </c>
      <c r="E696" s="1">
        <f t="shared" si="51"/>
        <v>0.74779325225578663</v>
      </c>
    </row>
    <row r="697" spans="1:10" x14ac:dyDescent="0.3">
      <c r="A697">
        <v>2023</v>
      </c>
      <c r="B697" s="2">
        <v>42445</v>
      </c>
      <c r="C697" s="2">
        <v>8584</v>
      </c>
      <c r="D697" s="2">
        <v>33861</v>
      </c>
      <c r="E697" s="1">
        <f t="shared" si="51"/>
        <v>0.79776180940040053</v>
      </c>
    </row>
    <row r="698" spans="1:10" x14ac:dyDescent="0.3">
      <c r="A698">
        <v>2024</v>
      </c>
      <c r="B698" s="2">
        <v>27911</v>
      </c>
      <c r="C698" s="2">
        <v>7284</v>
      </c>
      <c r="D698" s="2">
        <v>20627</v>
      </c>
      <c r="E698" s="1">
        <f t="shared" si="51"/>
        <v>0.73902762351760953</v>
      </c>
    </row>
    <row r="699" spans="1:10" x14ac:dyDescent="0.3">
      <c r="A699">
        <v>2025</v>
      </c>
      <c r="B699" s="2">
        <v>16665</v>
      </c>
      <c r="C699" s="2">
        <v>6119</v>
      </c>
      <c r="D699" s="2">
        <v>10546</v>
      </c>
      <c r="E699" s="1">
        <f t="shared" si="51"/>
        <v>0.63282328232823282</v>
      </c>
    </row>
    <row r="700" spans="1:10" x14ac:dyDescent="0.3">
      <c r="A700">
        <v>2026</v>
      </c>
      <c r="B700" s="2">
        <f>_xlfn.FORECAST.LINEAR(A700,B695:B699,A695:A699)</f>
        <v>32363.292452830356</v>
      </c>
      <c r="C700" s="2">
        <f>_xlfn.FORECAST.LINEAR(A700,C695:C699,A695:A699)</f>
        <v>8239.7735849056626</v>
      </c>
      <c r="D700" s="2">
        <f>B700-C700</f>
        <v>24123.518867924693</v>
      </c>
      <c r="E700" s="1">
        <f t="shared" si="51"/>
        <v>0.74539754887685883</v>
      </c>
    </row>
    <row r="701" spans="1:10" x14ac:dyDescent="0.3">
      <c r="A701">
        <v>2027</v>
      </c>
      <c r="B701" s="2">
        <f>_xlfn.FORECAST.LINEAR(A701,B695:B700,A695:A700)</f>
        <v>33634.849056603387</v>
      </c>
      <c r="C701" s="2">
        <f>_xlfn.FORECAST.LINEAR(A701,C695:C700,A695:A700)</f>
        <v>8489.4716981131933</v>
      </c>
      <c r="D701" s="2">
        <f>B701-C701</f>
        <v>25145.377358490194</v>
      </c>
      <c r="E701" s="1">
        <f t="shared" si="51"/>
        <v>0.7475989357399393</v>
      </c>
    </row>
    <row r="702" spans="1:10" x14ac:dyDescent="0.3">
      <c r="A702" s="6" t="s">
        <v>72</v>
      </c>
      <c r="B702" s="7">
        <f>SUM(B703:B711)</f>
        <v>84066.107142857145</v>
      </c>
      <c r="C702" s="7">
        <f>SUM(C703:C711)</f>
        <v>32328.964285714319</v>
      </c>
      <c r="D702" s="7">
        <f>SUM(D703:D711)</f>
        <v>51737.142857142826</v>
      </c>
      <c r="E702" s="1">
        <f t="shared" si="51"/>
        <v>0.61543402704759098</v>
      </c>
    </row>
    <row r="703" spans="1:10" x14ac:dyDescent="0.3">
      <c r="A703">
        <v>2019</v>
      </c>
      <c r="B703" s="2">
        <v>8048</v>
      </c>
      <c r="C703" s="2">
        <v>3137</v>
      </c>
      <c r="D703" s="2">
        <v>4911</v>
      </c>
      <c r="E703" s="1">
        <f t="shared" si="51"/>
        <v>0.61021371769383703</v>
      </c>
    </row>
    <row r="704" spans="1:10" x14ac:dyDescent="0.3">
      <c r="A704">
        <v>2020</v>
      </c>
      <c r="B704" s="2">
        <v>3888</v>
      </c>
      <c r="C704" s="2">
        <v>1078</v>
      </c>
      <c r="D704" s="2">
        <v>2810</v>
      </c>
      <c r="E704" s="1">
        <f t="shared" si="51"/>
        <v>0.72273662551440332</v>
      </c>
    </row>
    <row r="705" spans="1:5" x14ac:dyDescent="0.3">
      <c r="A705">
        <v>2021</v>
      </c>
      <c r="B705" s="2">
        <v>18225</v>
      </c>
      <c r="C705" s="2">
        <v>4192</v>
      </c>
      <c r="D705" s="2">
        <v>14033</v>
      </c>
      <c r="E705" s="1">
        <f t="shared" si="51"/>
        <v>0.76998628257887514</v>
      </c>
    </row>
    <row r="706" spans="1:5" x14ac:dyDescent="0.3">
      <c r="A706">
        <v>2022</v>
      </c>
      <c r="B706" s="2">
        <v>2327</v>
      </c>
      <c r="C706" s="2">
        <v>1320</v>
      </c>
      <c r="D706" s="2">
        <v>1007</v>
      </c>
      <c r="E706" s="1">
        <f t="shared" si="51"/>
        <v>0.43274602492479586</v>
      </c>
    </row>
    <row r="707" spans="1:5" x14ac:dyDescent="0.3">
      <c r="A707">
        <v>2023</v>
      </c>
      <c r="B707" s="2">
        <v>20634</v>
      </c>
      <c r="C707" s="2">
        <v>8018</v>
      </c>
      <c r="D707" s="2">
        <v>12616</v>
      </c>
      <c r="E707" s="1">
        <f t="shared" si="51"/>
        <v>0.61141804788213627</v>
      </c>
    </row>
    <row r="708" spans="1:5" x14ac:dyDescent="0.3">
      <c r="A708">
        <v>2024</v>
      </c>
      <c r="B708" s="2">
        <v>9799</v>
      </c>
      <c r="C708" s="2">
        <v>4212</v>
      </c>
      <c r="D708" s="2">
        <v>5587</v>
      </c>
      <c r="E708" s="1">
        <f t="shared" si="51"/>
        <v>0.57016022043065617</v>
      </c>
    </row>
    <row r="709" spans="1:5" x14ac:dyDescent="0.3">
      <c r="A709">
        <v>2025</v>
      </c>
      <c r="B709" s="2">
        <v>2824</v>
      </c>
      <c r="C709" s="2">
        <v>1724</v>
      </c>
      <c r="D709" s="2">
        <v>1100</v>
      </c>
      <c r="E709" s="1">
        <f t="shared" si="51"/>
        <v>0.3895184135977337</v>
      </c>
    </row>
    <row r="710" spans="1:5" x14ac:dyDescent="0.3">
      <c r="A710">
        <v>2026</v>
      </c>
      <c r="B710" s="2">
        <f>_xlfn.FORECAST.LINEAR(A710,B703:B709,A703:A709)</f>
        <v>9186.2857142857101</v>
      </c>
      <c r="C710" s="2">
        <f>_xlfn.FORECAST.LINEAR(A710,C703:C709,A703:A709)</f>
        <v>4219.4285714285797</v>
      </c>
      <c r="D710" s="2">
        <f>B710-C710</f>
        <v>4966.8571428571304</v>
      </c>
      <c r="E710" s="1">
        <f t="shared" si="51"/>
        <v>0.54068176163224568</v>
      </c>
    </row>
    <row r="711" spans="1:5" x14ac:dyDescent="0.3">
      <c r="A711">
        <v>2027</v>
      </c>
      <c r="B711" s="2">
        <f>_xlfn.FORECAST.LINEAR(A711,B703:B710,A703:A710)</f>
        <v>9134.8214285714348</v>
      </c>
      <c r="C711" s="2">
        <f>_xlfn.FORECAST.LINEAR(A711,C703:C710,A703:A710)</f>
        <v>4428.5357142857392</v>
      </c>
      <c r="D711" s="2">
        <f>B711-C711</f>
        <v>4706.2857142856956</v>
      </c>
      <c r="E711" s="1">
        <f t="shared" si="51"/>
        <v>0.51520281497409592</v>
      </c>
    </row>
    <row r="712" spans="1:5" x14ac:dyDescent="0.3">
      <c r="A712" s="6" t="s">
        <v>73</v>
      </c>
      <c r="B712" s="7">
        <f>SUM(B713:B721)</f>
        <v>95370.428571428405</v>
      </c>
      <c r="C712" s="7">
        <f t="shared" ref="C712:D712" si="55">SUM(C713:C721)</f>
        <v>37307.250000000233</v>
      </c>
      <c r="D712" s="7">
        <f t="shared" si="55"/>
        <v>58063</v>
      </c>
      <c r="E712" s="1">
        <f t="shared" si="51"/>
        <v>0.60881555079217531</v>
      </c>
    </row>
    <row r="713" spans="1:5" x14ac:dyDescent="0.3">
      <c r="A713">
        <v>2019</v>
      </c>
      <c r="B713" s="2">
        <v>9671</v>
      </c>
      <c r="C713" s="2">
        <v>2701</v>
      </c>
      <c r="D713" s="2">
        <v>6970</v>
      </c>
      <c r="E713" s="1">
        <f t="shared" si="51"/>
        <v>0.72071140523213728</v>
      </c>
    </row>
    <row r="714" spans="1:5" x14ac:dyDescent="0.3">
      <c r="A714">
        <v>2020</v>
      </c>
      <c r="B714" s="2">
        <v>11742</v>
      </c>
      <c r="C714" s="2">
        <v>6646</v>
      </c>
      <c r="D714" s="2">
        <v>5096</v>
      </c>
      <c r="E714" s="1">
        <f t="shared" si="51"/>
        <v>0.43399761539771758</v>
      </c>
    </row>
    <row r="715" spans="1:5" x14ac:dyDescent="0.3">
      <c r="A715">
        <v>2021</v>
      </c>
      <c r="B715" s="2">
        <v>28678</v>
      </c>
      <c r="C715" s="2">
        <v>15101</v>
      </c>
      <c r="D715" s="2">
        <v>13577</v>
      </c>
      <c r="E715" s="1">
        <f t="shared" si="51"/>
        <v>0.47342910942185645</v>
      </c>
    </row>
    <row r="716" spans="1:5" x14ac:dyDescent="0.3">
      <c r="A716">
        <v>2022</v>
      </c>
      <c r="B716" s="2">
        <v>2599</v>
      </c>
      <c r="C716" s="2">
        <v>716</v>
      </c>
      <c r="D716" s="2">
        <v>1883</v>
      </c>
      <c r="E716" s="1">
        <f t="shared" si="51"/>
        <v>0.7245094267025779</v>
      </c>
    </row>
    <row r="717" spans="1:5" x14ac:dyDescent="0.3">
      <c r="A717">
        <v>2023</v>
      </c>
      <c r="B717" s="2">
        <v>0</v>
      </c>
      <c r="C717" s="2">
        <v>61</v>
      </c>
      <c r="D717" s="2">
        <v>-61</v>
      </c>
      <c r="E717" s="1" t="e">
        <f t="shared" si="51"/>
        <v>#DIV/0!</v>
      </c>
    </row>
    <row r="718" spans="1:5" x14ac:dyDescent="0.3">
      <c r="A718">
        <v>2024</v>
      </c>
      <c r="B718" s="2">
        <v>16571</v>
      </c>
      <c r="C718" s="2">
        <v>5413</v>
      </c>
      <c r="D718" s="2">
        <v>11158</v>
      </c>
      <c r="E718" s="1">
        <f t="shared" si="51"/>
        <v>0.67334500030173194</v>
      </c>
    </row>
    <row r="719" spans="1:5" x14ac:dyDescent="0.3">
      <c r="A719">
        <v>2025</v>
      </c>
      <c r="B719" s="2">
        <v>9671</v>
      </c>
      <c r="C719" s="2">
        <v>2732</v>
      </c>
      <c r="D719" s="2">
        <v>6939</v>
      </c>
      <c r="E719" s="1">
        <f t="shared" si="51"/>
        <v>0.71750594561058834</v>
      </c>
    </row>
    <row r="720" spans="1:5" x14ac:dyDescent="0.3">
      <c r="A720">
        <v>2026</v>
      </c>
      <c r="B720" s="2">
        <f>_xlfn.FORECAST.LINEAR(A720,B713:B719,A713:A719)</f>
        <v>8558.8571428570431</v>
      </c>
      <c r="C720" s="2">
        <f>_xlfn.FORECAST.LINEAR(A720,C713:C719,A713:A719)</f>
        <v>2279.5714285715949</v>
      </c>
      <c r="D720" s="2">
        <v>6279</v>
      </c>
      <c r="E720" s="1">
        <f t="shared" si="51"/>
        <v>0.73362598477768248</v>
      </c>
    </row>
    <row r="721" spans="1:5" x14ac:dyDescent="0.3">
      <c r="A721">
        <v>2027</v>
      </c>
      <c r="B721" s="2">
        <f>_xlfn.FORECAST.LINEAR(A721,B713:B720,A713:A720)</f>
        <v>7879.571428571362</v>
      </c>
      <c r="C721" s="2">
        <f>_xlfn.FORECAST.LINEAR(A721,C713:C720,A713:A720)</f>
        <v>1657.678571428638</v>
      </c>
      <c r="D721" s="2">
        <v>6222</v>
      </c>
      <c r="E721" s="1">
        <f t="shared" si="51"/>
        <v>0.7896368547963154</v>
      </c>
    </row>
    <row r="722" spans="1:5" x14ac:dyDescent="0.3">
      <c r="A722" s="6" t="s">
        <v>74</v>
      </c>
      <c r="B722" s="7">
        <f>SUM(B723:B730)</f>
        <v>96779.071428571478</v>
      </c>
      <c r="C722" s="7">
        <f t="shared" ref="C722:D722" si="56">SUM(C723:C730)</f>
        <v>29335.785714285797</v>
      </c>
      <c r="D722" s="7">
        <f t="shared" si="56"/>
        <v>67443.285714285681</v>
      </c>
      <c r="E722" s="1">
        <f t="shared" si="51"/>
        <v>0.69687882636963205</v>
      </c>
    </row>
    <row r="723" spans="1:5" x14ac:dyDescent="0.3">
      <c r="A723">
        <v>2019</v>
      </c>
      <c r="B723" s="2">
        <v>6189</v>
      </c>
      <c r="C723" s="2">
        <v>3439</v>
      </c>
      <c r="D723" s="2">
        <v>2750</v>
      </c>
      <c r="E723" s="1">
        <f t="shared" si="51"/>
        <v>0.44433672645015349</v>
      </c>
    </row>
    <row r="724" spans="1:5" x14ac:dyDescent="0.3">
      <c r="A724">
        <v>2021</v>
      </c>
      <c r="B724" s="2">
        <v>19827</v>
      </c>
      <c r="C724" s="2">
        <v>7698</v>
      </c>
      <c r="D724" s="2">
        <v>12129</v>
      </c>
      <c r="E724" s="1">
        <f t="shared" si="51"/>
        <v>0.61174156453321227</v>
      </c>
    </row>
    <row r="725" spans="1:5" x14ac:dyDescent="0.3">
      <c r="A725">
        <v>2022</v>
      </c>
      <c r="B725" s="2">
        <v>17908</v>
      </c>
      <c r="C725" s="2">
        <v>4817</v>
      </c>
      <c r="D725" s="2">
        <v>13091</v>
      </c>
      <c r="E725" s="1">
        <f t="shared" si="51"/>
        <v>0.73101407192316281</v>
      </c>
    </row>
    <row r="726" spans="1:5" x14ac:dyDescent="0.3">
      <c r="A726">
        <v>2023</v>
      </c>
      <c r="B726" s="2">
        <v>8986</v>
      </c>
      <c r="C726" s="2">
        <v>2606</v>
      </c>
      <c r="D726" s="2">
        <v>6380</v>
      </c>
      <c r="E726" s="1">
        <f t="shared" si="51"/>
        <v>0.70999332294680617</v>
      </c>
    </row>
    <row r="727" spans="1:5" x14ac:dyDescent="0.3">
      <c r="A727">
        <v>2024</v>
      </c>
      <c r="B727" s="2">
        <v>11575</v>
      </c>
      <c r="C727" s="2">
        <v>3494</v>
      </c>
      <c r="D727" s="2">
        <v>8081</v>
      </c>
      <c r="E727" s="1">
        <f t="shared" si="51"/>
        <v>0.69814254859611236</v>
      </c>
    </row>
    <row r="728" spans="1:5" x14ac:dyDescent="0.3">
      <c r="A728">
        <v>2025</v>
      </c>
      <c r="B728" s="2">
        <v>9061</v>
      </c>
      <c r="C728" s="2">
        <v>2434</v>
      </c>
      <c r="D728" s="2">
        <v>6627</v>
      </c>
      <c r="E728" s="1">
        <f t="shared" si="51"/>
        <v>0.73137622778942724</v>
      </c>
    </row>
    <row r="729" spans="1:5" x14ac:dyDescent="0.3">
      <c r="A729">
        <v>2026</v>
      </c>
      <c r="B729" s="2">
        <f>_xlfn.FORECAST.LINEAR(A729,B723:B728,A723:A728)</f>
        <v>11693.471428571444</v>
      </c>
      <c r="C729" s="2">
        <f>_xlfn.FORECAST.LINEAR(A729,C723:C728,A723:A728)</f>
        <v>2622.785714285681</v>
      </c>
      <c r="D729" s="2">
        <f>B729-C729</f>
        <v>9070.6857142857625</v>
      </c>
      <c r="E729" s="1">
        <f t="shared" si="51"/>
        <v>0.77570512483767207</v>
      </c>
    </row>
    <row r="730" spans="1:5" x14ac:dyDescent="0.3">
      <c r="A730">
        <v>2027</v>
      </c>
      <c r="B730" s="2">
        <f>_xlfn.FORECAST.LINEAR(A730,B723:B729,A723:A729)</f>
        <v>11539.600000000035</v>
      </c>
      <c r="C730" s="2">
        <f>_xlfn.FORECAST.LINEAR(A730,C723:C729,A723:A729)</f>
        <v>2225.0000000001164</v>
      </c>
      <c r="D730" s="2">
        <f>B730-C730</f>
        <v>9314.5999999999185</v>
      </c>
      <c r="E730" s="1">
        <f t="shared" si="51"/>
        <v>0.8071856910118107</v>
      </c>
    </row>
    <row r="731" spans="1:5" x14ac:dyDescent="0.3">
      <c r="A731" s="6" t="s">
        <v>85</v>
      </c>
      <c r="B731" s="7">
        <v>0</v>
      </c>
      <c r="C731" s="7">
        <v>0</v>
      </c>
      <c r="D731" s="7">
        <v>0</v>
      </c>
      <c r="E731" s="1" t="e">
        <f t="shared" si="51"/>
        <v>#DIV/0!</v>
      </c>
    </row>
    <row r="732" spans="1:5" x14ac:dyDescent="0.3">
      <c r="A732">
        <v>2020</v>
      </c>
      <c r="B732" s="2">
        <v>0</v>
      </c>
      <c r="C732" s="2">
        <v>0</v>
      </c>
      <c r="D732" s="2">
        <v>0</v>
      </c>
      <c r="E732" s="1" t="e">
        <f t="shared" si="51"/>
        <v>#DIV/0!</v>
      </c>
    </row>
    <row r="735" spans="1:5" x14ac:dyDescent="0.3">
      <c r="A735" s="6" t="s">
        <v>94</v>
      </c>
      <c r="B735" s="7">
        <f>SUM(B736:B738)</f>
        <v>26973.931599999996</v>
      </c>
      <c r="C735" s="7">
        <f>SUM(C736:C738)</f>
        <v>2847.1981999999998</v>
      </c>
      <c r="D735" s="7">
        <f>SUM(D736:D738)</f>
        <v>24126.733400000001</v>
      </c>
      <c r="E735" s="1">
        <f t="shared" si="51"/>
        <v>0.89444630311140871</v>
      </c>
    </row>
    <row r="736" spans="1:5" x14ac:dyDescent="0.3">
      <c r="A736">
        <v>2025</v>
      </c>
      <c r="B736" s="2">
        <v>11956</v>
      </c>
      <c r="C736" s="2">
        <v>1262</v>
      </c>
      <c r="D736" s="2">
        <v>10694</v>
      </c>
      <c r="E736" s="1">
        <f t="shared" si="51"/>
        <v>0.89444630311140849</v>
      </c>
    </row>
    <row r="737" spans="1:10" x14ac:dyDescent="0.3">
      <c r="A737">
        <v>2026</v>
      </c>
      <c r="B737" s="2">
        <f>B736*(0.79)</f>
        <v>9445.24</v>
      </c>
      <c r="C737" s="2">
        <f>C736*(0.79)</f>
        <v>996.98</v>
      </c>
      <c r="D737" s="2">
        <f>B737-C737</f>
        <v>8448.26</v>
      </c>
      <c r="E737" s="1">
        <f t="shared" si="51"/>
        <v>0.89444630311140849</v>
      </c>
    </row>
    <row r="738" spans="1:10" x14ac:dyDescent="0.3">
      <c r="A738">
        <v>2027</v>
      </c>
      <c r="B738" s="2">
        <f>B737*(0.59)</f>
        <v>5572.6915999999992</v>
      </c>
      <c r="C738" s="2">
        <f>C737*(0.59)</f>
        <v>588.21820000000002</v>
      </c>
      <c r="D738" s="2">
        <f>B738-C738</f>
        <v>4984.4733999999989</v>
      </c>
      <c r="E738" s="1">
        <f t="shared" si="51"/>
        <v>0.89444630311140849</v>
      </c>
    </row>
    <row r="739" spans="1:10" x14ac:dyDescent="0.3">
      <c r="A739" s="6" t="s">
        <v>75</v>
      </c>
      <c r="B739" s="7">
        <f>SUM(B740:B748)</f>
        <v>78327.964285714203</v>
      </c>
      <c r="C739" s="7">
        <f t="shared" ref="C739:D739" si="57">SUM(C740:C748)</f>
        <v>37030.17857142858</v>
      </c>
      <c r="D739" s="7">
        <f t="shared" si="57"/>
        <v>41297.785714285623</v>
      </c>
      <c r="E739" s="1">
        <f t="shared" si="51"/>
        <v>0.5272419127815593</v>
      </c>
    </row>
    <row r="740" spans="1:10" x14ac:dyDescent="0.3">
      <c r="A740">
        <v>2019</v>
      </c>
      <c r="B740" s="2">
        <v>1482</v>
      </c>
      <c r="C740" s="2">
        <v>1300</v>
      </c>
      <c r="D740" s="2">
        <v>182</v>
      </c>
      <c r="E740" s="1">
        <f t="shared" si="51"/>
        <v>0.12280701754385964</v>
      </c>
    </row>
    <row r="741" spans="1:10" x14ac:dyDescent="0.3">
      <c r="A741">
        <v>2020</v>
      </c>
      <c r="B741" s="2">
        <v>12757</v>
      </c>
      <c r="C741" s="2">
        <v>4813</v>
      </c>
      <c r="D741" s="2">
        <v>7944</v>
      </c>
      <c r="E741" s="1">
        <f t="shared" si="51"/>
        <v>0.62271693971936981</v>
      </c>
    </row>
    <row r="742" spans="1:10" x14ac:dyDescent="0.3">
      <c r="A742">
        <v>2021</v>
      </c>
      <c r="B742" s="2">
        <v>7272</v>
      </c>
      <c r="C742" s="2">
        <v>3124</v>
      </c>
      <c r="D742" s="2">
        <v>4148</v>
      </c>
      <c r="E742" s="1">
        <f t="shared" si="51"/>
        <v>0.57040704070407044</v>
      </c>
    </row>
    <row r="743" spans="1:10" x14ac:dyDescent="0.3">
      <c r="A743">
        <v>2022</v>
      </c>
      <c r="B743" s="2">
        <v>9987</v>
      </c>
      <c r="C743" s="2">
        <v>4851</v>
      </c>
      <c r="D743" s="2">
        <v>5136</v>
      </c>
      <c r="E743" s="1">
        <f t="shared" si="51"/>
        <v>0.51426854911384801</v>
      </c>
    </row>
    <row r="744" spans="1:10" x14ac:dyDescent="0.3">
      <c r="A744">
        <v>2023</v>
      </c>
      <c r="B744" s="2">
        <v>11690</v>
      </c>
      <c r="C744" s="2">
        <v>6345</v>
      </c>
      <c r="D744" s="2">
        <v>5345</v>
      </c>
      <c r="E744" s="1">
        <f t="shared" ref="E744:E811" si="58">D744/B744</f>
        <v>0.45722840034217282</v>
      </c>
    </row>
    <row r="745" spans="1:10" x14ac:dyDescent="0.3">
      <c r="A745">
        <v>2024</v>
      </c>
      <c r="B745" s="2">
        <v>6241</v>
      </c>
      <c r="C745" s="2">
        <v>3829</v>
      </c>
      <c r="D745" s="2">
        <v>2412</v>
      </c>
      <c r="E745" s="1">
        <f t="shared" si="58"/>
        <v>0.38647652619772471</v>
      </c>
    </row>
    <row r="746" spans="1:10" x14ac:dyDescent="0.3">
      <c r="A746">
        <v>2025</v>
      </c>
      <c r="B746" s="2">
        <v>8433</v>
      </c>
      <c r="C746" s="2">
        <v>2972</v>
      </c>
      <c r="D746" s="2">
        <v>5461</v>
      </c>
      <c r="E746" s="1">
        <f t="shared" si="58"/>
        <v>0.64757500296454407</v>
      </c>
    </row>
    <row r="747" spans="1:10" x14ac:dyDescent="0.3">
      <c r="A747">
        <v>2026</v>
      </c>
      <c r="B747" s="2">
        <f>_xlfn.FORECAST.LINEAR(A747,B740:B746,A740:A746)</f>
        <v>10014.428571428522</v>
      </c>
      <c r="C747" s="2">
        <f>_xlfn.FORECAST.LINEAR(A747,C740:C746,A740:A746)</f>
        <v>4786.1428571428405</v>
      </c>
      <c r="D747" s="2">
        <f>B747-C747</f>
        <v>5228.285714285681</v>
      </c>
      <c r="E747" s="1">
        <f t="shared" si="58"/>
        <v>0.52207529136531505</v>
      </c>
    </row>
    <row r="748" spans="1:10" x14ac:dyDescent="0.3">
      <c r="A748">
        <v>2027</v>
      </c>
      <c r="B748" s="2">
        <f>_xlfn.FORECAST.LINEAR(A748,B740:B747,A740:A747)</f>
        <v>10451.535714285681</v>
      </c>
      <c r="C748" s="2">
        <f>_xlfn.FORECAST.LINEAR(A748,C740:C747,A740:A747)</f>
        <v>5010.0357142857392</v>
      </c>
      <c r="D748" s="2">
        <f>B748-C748</f>
        <v>5441.4999999999418</v>
      </c>
      <c r="E748" s="1">
        <f t="shared" si="58"/>
        <v>0.52064119080244142</v>
      </c>
    </row>
    <row r="749" spans="1:10" x14ac:dyDescent="0.3">
      <c r="A749" s="6" t="s">
        <v>76</v>
      </c>
      <c r="B749" s="7">
        <f>SUM(B750:B758)</f>
        <v>172030.82142857276</v>
      </c>
      <c r="C749" s="7">
        <f t="shared" ref="C749:D749" si="59">SUM(C750:C758)</f>
        <v>69238.928571429104</v>
      </c>
      <c r="D749" s="7">
        <f t="shared" si="59"/>
        <v>102791.89285714366</v>
      </c>
      <c r="E749" s="1">
        <f t="shared" si="58"/>
        <v>0.59752021180589943</v>
      </c>
      <c r="G749" s="68" t="s">
        <v>186</v>
      </c>
      <c r="H749" s="68"/>
      <c r="I749" s="68"/>
      <c r="J749" s="68"/>
    </row>
    <row r="750" spans="1:10" x14ac:dyDescent="0.3">
      <c r="A750">
        <v>2019</v>
      </c>
      <c r="B750" s="2">
        <v>45342</v>
      </c>
      <c r="C750" s="2">
        <v>19411</v>
      </c>
      <c r="D750" s="2">
        <v>25931</v>
      </c>
      <c r="E750" s="1">
        <f t="shared" si="58"/>
        <v>0.57189801949627272</v>
      </c>
      <c r="G750" s="68"/>
      <c r="H750" s="68"/>
      <c r="I750" s="68"/>
      <c r="J750" s="68"/>
    </row>
    <row r="751" spans="1:10" x14ac:dyDescent="0.3">
      <c r="A751">
        <v>2020</v>
      </c>
      <c r="B751" s="2">
        <v>42256</v>
      </c>
      <c r="C751" s="2">
        <v>13052</v>
      </c>
      <c r="D751" s="2">
        <v>29204</v>
      </c>
      <c r="E751" s="1">
        <f t="shared" si="58"/>
        <v>0.69112078758046191</v>
      </c>
      <c r="G751" s="68"/>
      <c r="H751" s="68"/>
      <c r="I751" s="68"/>
      <c r="J751" s="68"/>
    </row>
    <row r="752" spans="1:10" x14ac:dyDescent="0.3">
      <c r="A752">
        <v>2021</v>
      </c>
      <c r="B752" s="2">
        <v>30461</v>
      </c>
      <c r="C752" s="2">
        <v>11737</v>
      </c>
      <c r="D752" s="2">
        <v>18724</v>
      </c>
      <c r="E752" s="1">
        <f t="shared" si="58"/>
        <v>0.61468763336725651</v>
      </c>
      <c r="G752" s="68"/>
      <c r="H752" s="68"/>
      <c r="I752" s="68"/>
      <c r="J752" s="68"/>
    </row>
    <row r="753" spans="1:10" x14ac:dyDescent="0.3">
      <c r="A753">
        <v>2022</v>
      </c>
      <c r="B753" s="2">
        <v>18932</v>
      </c>
      <c r="C753" s="2">
        <v>10360</v>
      </c>
      <c r="D753" s="2">
        <v>8572</v>
      </c>
      <c r="E753" s="1">
        <f t="shared" si="58"/>
        <v>0.45277836467356858</v>
      </c>
      <c r="G753" s="68"/>
      <c r="H753" s="68"/>
      <c r="I753" s="68"/>
      <c r="J753" s="68"/>
    </row>
    <row r="754" spans="1:10" x14ac:dyDescent="0.3">
      <c r="A754">
        <v>2023</v>
      </c>
      <c r="B754" s="2">
        <v>15033</v>
      </c>
      <c r="C754" s="2">
        <v>6869</v>
      </c>
      <c r="D754" s="2">
        <v>8164</v>
      </c>
      <c r="E754" s="1">
        <f t="shared" si="58"/>
        <v>0.54307190846803699</v>
      </c>
      <c r="G754" s="68"/>
      <c r="H754" s="68"/>
      <c r="I754" s="68"/>
      <c r="J754" s="68"/>
    </row>
    <row r="755" spans="1:10" x14ac:dyDescent="0.3">
      <c r="A755">
        <v>2024</v>
      </c>
      <c r="B755" s="2">
        <v>8444</v>
      </c>
      <c r="C755" s="2">
        <v>3527</v>
      </c>
      <c r="D755" s="2">
        <v>4917</v>
      </c>
      <c r="E755" s="1">
        <f t="shared" si="58"/>
        <v>0.58230696352439604</v>
      </c>
      <c r="G755" s="68"/>
      <c r="H755" s="68"/>
      <c r="I755" s="68"/>
      <c r="J755" s="68"/>
    </row>
    <row r="756" spans="1:10" x14ac:dyDescent="0.3">
      <c r="A756">
        <v>2025</v>
      </c>
      <c r="B756" s="2">
        <v>16059</v>
      </c>
      <c r="C756" s="2">
        <v>5391</v>
      </c>
      <c r="D756" s="2">
        <v>10668</v>
      </c>
      <c r="E756" s="1">
        <f t="shared" si="58"/>
        <v>0.66430039230338123</v>
      </c>
      <c r="G756" t="s">
        <v>133</v>
      </c>
      <c r="H756" t="s">
        <v>132</v>
      </c>
      <c r="I756" t="s">
        <v>134</v>
      </c>
      <c r="J756" t="s">
        <v>89</v>
      </c>
    </row>
    <row r="757" spans="1:10" x14ac:dyDescent="0.3">
      <c r="A757">
        <v>2026</v>
      </c>
      <c r="B757" s="2">
        <f>_xlfn.FORECAST.LINEAR(A757,B750:B756,A750:A756)</f>
        <v>803.71428571455181</v>
      </c>
      <c r="C757" s="2">
        <f>_xlfn.FORECAST.LINEAR(A757,C750:C756,A750:A756)</f>
        <v>624.14285714365542</v>
      </c>
      <c r="D757" s="2">
        <f>B757-C757</f>
        <v>179.57142857089639</v>
      </c>
      <c r="E757" s="1">
        <f t="shared" si="58"/>
        <v>0.22342694631991797</v>
      </c>
      <c r="F757">
        <v>2026</v>
      </c>
      <c r="G757" s="20">
        <f>B756*(0.79)</f>
        <v>12686.61</v>
      </c>
      <c r="H757" s="20">
        <f>C756*(0.79)</f>
        <v>4258.8900000000003</v>
      </c>
      <c r="I757" s="20">
        <f>G757-H757</f>
        <v>8427.7200000000012</v>
      </c>
      <c r="J757" s="1">
        <f>I757/G757</f>
        <v>0.66430039230338134</v>
      </c>
    </row>
    <row r="758" spans="1:10" x14ac:dyDescent="0.3">
      <c r="A758">
        <v>2027</v>
      </c>
      <c r="B758" s="2">
        <f>_xlfn.FORECAST.LINEAR(A758,B750:B757,A750:A757)</f>
        <v>-5299.8928571417928</v>
      </c>
      <c r="C758" s="2">
        <f>_xlfn.FORECAST.LINEAR(A758,C750:C757,A750:A757)</f>
        <v>-1732.2142857145518</v>
      </c>
      <c r="D758" s="2">
        <f>B758-C758</f>
        <v>-3567.678571427241</v>
      </c>
      <c r="E758" s="1">
        <f t="shared" si="58"/>
        <v>0.67316050863550347</v>
      </c>
      <c r="F758">
        <v>2027</v>
      </c>
      <c r="G758" s="20">
        <f>G757*(0.59)</f>
        <v>7485.0999000000002</v>
      </c>
      <c r="H758" s="20">
        <f>H757*(0.59)</f>
        <v>2512.7451000000001</v>
      </c>
      <c r="I758" s="20">
        <f>G758-H758</f>
        <v>4972.3548000000001</v>
      </c>
      <c r="J758" s="1">
        <f>I758/G758</f>
        <v>0.66430039230338123</v>
      </c>
    </row>
    <row r="759" spans="1:10" x14ac:dyDescent="0.3">
      <c r="A759" s="6" t="s">
        <v>77</v>
      </c>
      <c r="B759" s="7">
        <f>SUM(B760:B768)</f>
        <v>126909.32142857159</v>
      </c>
      <c r="C759" s="7">
        <f t="shared" ref="C759:D759" si="60">SUM(C760:C768)</f>
        <v>37031.464285714261</v>
      </c>
      <c r="D759" s="7">
        <f t="shared" si="60"/>
        <v>89877.857142857334</v>
      </c>
      <c r="E759" s="1">
        <f t="shared" si="58"/>
        <v>0.70820532433028027</v>
      </c>
    </row>
    <row r="760" spans="1:10" x14ac:dyDescent="0.3">
      <c r="A760">
        <v>2019</v>
      </c>
      <c r="B760" s="2">
        <v>15596</v>
      </c>
      <c r="C760" s="2">
        <v>4316</v>
      </c>
      <c r="D760" s="2">
        <v>11280</v>
      </c>
      <c r="E760" s="1">
        <f t="shared" si="58"/>
        <v>0.72326237496794055</v>
      </c>
    </row>
    <row r="761" spans="1:10" x14ac:dyDescent="0.3">
      <c r="A761">
        <v>2020</v>
      </c>
      <c r="B761" s="2">
        <v>19320</v>
      </c>
      <c r="C761" s="2">
        <v>4564</v>
      </c>
      <c r="D761" s="2">
        <v>14756</v>
      </c>
      <c r="E761" s="1">
        <f t="shared" si="58"/>
        <v>0.76376811594202898</v>
      </c>
    </row>
    <row r="762" spans="1:10" x14ac:dyDescent="0.3">
      <c r="A762">
        <v>2021</v>
      </c>
      <c r="B762" s="2">
        <v>15520</v>
      </c>
      <c r="C762" s="2">
        <v>5023</v>
      </c>
      <c r="D762" s="2">
        <v>10497</v>
      </c>
      <c r="E762" s="1">
        <f t="shared" si="58"/>
        <v>0.67635309278350519</v>
      </c>
    </row>
    <row r="763" spans="1:10" x14ac:dyDescent="0.3">
      <c r="A763">
        <v>2022</v>
      </c>
      <c r="B763" s="2">
        <v>14771</v>
      </c>
      <c r="C763" s="2">
        <v>4740</v>
      </c>
      <c r="D763" s="2">
        <v>10031</v>
      </c>
      <c r="E763" s="1">
        <f t="shared" si="58"/>
        <v>0.67910094103310537</v>
      </c>
    </row>
    <row r="764" spans="1:10" x14ac:dyDescent="0.3">
      <c r="A764">
        <v>2023</v>
      </c>
      <c r="B764" s="2">
        <v>15159</v>
      </c>
      <c r="C764" s="2">
        <v>4927</v>
      </c>
      <c r="D764" s="2">
        <v>10232</v>
      </c>
      <c r="E764" s="1">
        <f t="shared" si="58"/>
        <v>0.67497856059106798</v>
      </c>
    </row>
    <row r="765" spans="1:10" x14ac:dyDescent="0.3">
      <c r="A765">
        <v>2024</v>
      </c>
      <c r="B765" s="2">
        <v>8146</v>
      </c>
      <c r="C765" s="2">
        <v>2693</v>
      </c>
      <c r="D765" s="2">
        <v>5453</v>
      </c>
      <c r="E765" s="1">
        <f t="shared" si="58"/>
        <v>0.66940829855143624</v>
      </c>
    </row>
    <row r="766" spans="1:10" x14ac:dyDescent="0.3">
      <c r="A766">
        <v>2025</v>
      </c>
      <c r="B766" s="2">
        <v>15754</v>
      </c>
      <c r="C766" s="2">
        <v>3849</v>
      </c>
      <c r="D766" s="2">
        <v>11905</v>
      </c>
      <c r="E766" s="1">
        <f t="shared" si="58"/>
        <v>0.75568109686428842</v>
      </c>
    </row>
    <row r="767" spans="1:10" x14ac:dyDescent="0.3">
      <c r="A767">
        <v>2026</v>
      </c>
      <c r="B767" s="2">
        <f>_xlfn.FORECAST.LINEAR(A767,B760:B766,A760:A766)</f>
        <v>11718.714285714319</v>
      </c>
      <c r="C767" s="2">
        <f>_xlfn.FORECAST.LINEAR(A767,C760:C766,A760:A766)</f>
        <v>3553.285714285681</v>
      </c>
      <c r="D767" s="2">
        <f>B767-C767</f>
        <v>8165.428571428638</v>
      </c>
      <c r="E767" s="1">
        <f t="shared" si="58"/>
        <v>0.696785361631582</v>
      </c>
    </row>
    <row r="768" spans="1:10" x14ac:dyDescent="0.3">
      <c r="A768">
        <v>2027</v>
      </c>
      <c r="B768" s="2">
        <f>_xlfn.FORECAST.LINEAR(A768,B760:B767,A760:A767)</f>
        <v>10924.607142857276</v>
      </c>
      <c r="C768" s="2">
        <f>_xlfn.FORECAST.LINEAR(A768,C760:C767,A760:A767)</f>
        <v>3366.1785714285797</v>
      </c>
      <c r="D768" s="2">
        <f>B768-C768</f>
        <v>7558.4285714286962</v>
      </c>
      <c r="E768" s="1">
        <f t="shared" si="58"/>
        <v>0.69187188816858702</v>
      </c>
    </row>
    <row r="769" spans="1:13" x14ac:dyDescent="0.3">
      <c r="A769" s="6" t="s">
        <v>78</v>
      </c>
      <c r="B769" s="7">
        <f>SUM(B770:B778)</f>
        <v>159376.17857142864</v>
      </c>
      <c r="C769" s="7">
        <f t="shared" ref="C769:D769" si="61">SUM(C770:C778)</f>
        <v>76141.928571428522</v>
      </c>
      <c r="D769" s="7">
        <f t="shared" si="61"/>
        <v>83234.250000000116</v>
      </c>
      <c r="E769" s="1">
        <f t="shared" si="58"/>
        <v>0.52225025562836225</v>
      </c>
    </row>
    <row r="770" spans="1:13" x14ac:dyDescent="0.3">
      <c r="A770">
        <v>2019</v>
      </c>
      <c r="B770" s="2">
        <v>24287</v>
      </c>
      <c r="C770" s="2">
        <v>11333</v>
      </c>
      <c r="D770" s="2">
        <v>12954</v>
      </c>
      <c r="E770" s="1">
        <f t="shared" si="58"/>
        <v>0.53337176267138797</v>
      </c>
    </row>
    <row r="771" spans="1:13" x14ac:dyDescent="0.3">
      <c r="A771">
        <v>2020</v>
      </c>
      <c r="B771" s="2">
        <v>10286</v>
      </c>
      <c r="C771" s="2">
        <v>4556</v>
      </c>
      <c r="D771" s="2">
        <v>5730</v>
      </c>
      <c r="E771" s="1">
        <f t="shared" si="58"/>
        <v>0.55706785922613256</v>
      </c>
    </row>
    <row r="772" spans="1:13" x14ac:dyDescent="0.3">
      <c r="A772">
        <v>2021</v>
      </c>
      <c r="B772" s="2">
        <v>20391</v>
      </c>
      <c r="C772" s="2">
        <v>9196</v>
      </c>
      <c r="D772" s="2">
        <v>11195</v>
      </c>
      <c r="E772" s="1">
        <f t="shared" si="58"/>
        <v>0.54901672306409688</v>
      </c>
    </row>
    <row r="773" spans="1:13" x14ac:dyDescent="0.3">
      <c r="A773">
        <v>2022</v>
      </c>
      <c r="B773" s="2">
        <v>18764</v>
      </c>
      <c r="C773" s="2">
        <v>9827</v>
      </c>
      <c r="D773" s="2">
        <v>8937</v>
      </c>
      <c r="E773" s="1">
        <f t="shared" si="58"/>
        <v>0.47628437433383075</v>
      </c>
    </row>
    <row r="774" spans="1:13" x14ac:dyDescent="0.3">
      <c r="A774">
        <v>2023</v>
      </c>
      <c r="B774" s="2">
        <v>19266</v>
      </c>
      <c r="C774" s="2">
        <v>9940</v>
      </c>
      <c r="D774" s="2">
        <v>9326</v>
      </c>
      <c r="E774" s="1">
        <f t="shared" si="58"/>
        <v>0.48406519256721686</v>
      </c>
    </row>
    <row r="775" spans="1:13" x14ac:dyDescent="0.3">
      <c r="A775">
        <v>2024</v>
      </c>
      <c r="B775" s="2">
        <v>14534</v>
      </c>
      <c r="C775" s="2">
        <v>7514</v>
      </c>
      <c r="D775" s="2">
        <v>7020</v>
      </c>
      <c r="E775" s="1">
        <f t="shared" si="58"/>
        <v>0.48300536672629696</v>
      </c>
    </row>
    <row r="776" spans="1:13" x14ac:dyDescent="0.3">
      <c r="A776">
        <v>2025</v>
      </c>
      <c r="B776" s="2">
        <v>18745</v>
      </c>
      <c r="C776" s="2">
        <v>7823</v>
      </c>
      <c r="D776" s="2">
        <v>10922</v>
      </c>
      <c r="E776" s="1">
        <f t="shared" si="58"/>
        <v>0.58266204321152304</v>
      </c>
    </row>
    <row r="777" spans="1:13" x14ac:dyDescent="0.3">
      <c r="A777">
        <v>2026</v>
      </c>
      <c r="B777" s="2">
        <f>_xlfn.FORECAST.LINEAR(A777,B770:B776,A770:A776)</f>
        <v>16716.857142857159</v>
      </c>
      <c r="C777" s="2">
        <f>_xlfn.FORECAST.LINEAR(A777,C770:C776,A770:A776)</f>
        <v>8045.5714285714203</v>
      </c>
      <c r="D777" s="2">
        <f>B777-C777</f>
        <v>8671.2857142857392</v>
      </c>
      <c r="E777" s="1">
        <f t="shared" si="58"/>
        <v>0.51871506947649182</v>
      </c>
    </row>
    <row r="778" spans="1:13" x14ac:dyDescent="0.3">
      <c r="A778">
        <v>2027</v>
      </c>
      <c r="B778" s="2">
        <f>_xlfn.FORECAST.LINEAR(A778,B770:B777,A770:A777)</f>
        <v>16386.321428571478</v>
      </c>
      <c r="C778" s="2">
        <f>_xlfn.FORECAST.LINEAR(A778,C770:C777,A770:A777)</f>
        <v>7907.3571428571013</v>
      </c>
      <c r="D778" s="2">
        <f>B778-C778</f>
        <v>8478.9642857143772</v>
      </c>
      <c r="E778" s="1">
        <f t="shared" si="58"/>
        <v>0.51744159436115456</v>
      </c>
    </row>
    <row r="779" spans="1:13" ht="14.4" customHeight="1" x14ac:dyDescent="0.3">
      <c r="A779" s="6" t="s">
        <v>79</v>
      </c>
      <c r="B779" s="7">
        <v>1145</v>
      </c>
      <c r="C779" s="7">
        <v>732</v>
      </c>
      <c r="D779" s="7">
        <v>413</v>
      </c>
      <c r="E779" s="1">
        <f t="shared" si="58"/>
        <v>0.36069868995633186</v>
      </c>
      <c r="G779" s="68" t="s">
        <v>139</v>
      </c>
      <c r="H779" s="68"/>
      <c r="I779" s="68"/>
      <c r="J779" s="68"/>
      <c r="K779" s="19"/>
      <c r="L779" s="19"/>
      <c r="M779" s="19"/>
    </row>
    <row r="780" spans="1:13" x14ac:dyDescent="0.3">
      <c r="A780">
        <v>2019</v>
      </c>
      <c r="B780" s="2">
        <v>459</v>
      </c>
      <c r="C780" s="2">
        <v>249</v>
      </c>
      <c r="D780" s="2">
        <v>210</v>
      </c>
      <c r="E780" s="1">
        <f t="shared" si="58"/>
        <v>0.45751633986928103</v>
      </c>
      <c r="G780" s="68"/>
      <c r="H780" s="68"/>
      <c r="I780" s="68"/>
      <c r="J780" s="68"/>
      <c r="K780" s="19"/>
      <c r="L780" s="19"/>
      <c r="M780" s="19"/>
    </row>
    <row r="781" spans="1:13" x14ac:dyDescent="0.3">
      <c r="A781">
        <v>2021</v>
      </c>
      <c r="B781" s="2">
        <v>686</v>
      </c>
      <c r="C781" s="2">
        <v>479</v>
      </c>
      <c r="D781" s="2">
        <v>207</v>
      </c>
      <c r="E781" s="1">
        <f t="shared" si="58"/>
        <v>0.30174927113702626</v>
      </c>
      <c r="G781" s="68"/>
      <c r="H781" s="68"/>
      <c r="I781" s="68"/>
      <c r="J781" s="68"/>
      <c r="K781" s="19"/>
      <c r="L781" s="19"/>
      <c r="M781" s="19"/>
    </row>
    <row r="782" spans="1:13" x14ac:dyDescent="0.3">
      <c r="A782">
        <v>2022</v>
      </c>
      <c r="B782" s="2">
        <v>0</v>
      </c>
      <c r="C782" s="2">
        <v>3</v>
      </c>
      <c r="D782" s="2">
        <v>-3</v>
      </c>
      <c r="E782" s="1" t="e">
        <f t="shared" si="58"/>
        <v>#DIV/0!</v>
      </c>
      <c r="G782" s="19"/>
      <c r="H782" s="19"/>
      <c r="I782" s="19"/>
      <c r="J782" s="19"/>
      <c r="K782" s="19"/>
      <c r="L782" s="19"/>
      <c r="M782" s="19"/>
    </row>
    <row r="783" spans="1:13" x14ac:dyDescent="0.3">
      <c r="A783">
        <v>2023</v>
      </c>
      <c r="B783" s="2">
        <v>0</v>
      </c>
      <c r="C783" s="2">
        <v>1</v>
      </c>
      <c r="D783" s="2">
        <v>-1</v>
      </c>
      <c r="E783" s="1" t="e">
        <f t="shared" si="58"/>
        <v>#DIV/0!</v>
      </c>
      <c r="G783" s="19" t="s">
        <v>133</v>
      </c>
      <c r="H783" s="19" t="s">
        <v>132</v>
      </c>
      <c r="I783" s="19" t="s">
        <v>134</v>
      </c>
      <c r="J783" s="19" t="s">
        <v>89</v>
      </c>
    </row>
    <row r="784" spans="1:13" x14ac:dyDescent="0.3">
      <c r="A784">
        <v>2026</v>
      </c>
      <c r="B784" s="2">
        <f>_xlfn.FORECAST.LINEAR(A784,B780:B783,A780:A783)</f>
        <v>-367.48571428575087</v>
      </c>
      <c r="C784" s="2">
        <f>_xlfn.FORECAST.LINEAR(A784,C780:C783,A780:A783)</f>
        <v>-183.97142857141444</v>
      </c>
      <c r="D784" s="2">
        <f>B784-C784</f>
        <v>-183.51428571433644</v>
      </c>
      <c r="E784" s="1">
        <f t="shared" si="58"/>
        <v>0.49937801275082694</v>
      </c>
      <c r="F784">
        <v>2026</v>
      </c>
      <c r="G784" s="21">
        <f>B780*(0.15)</f>
        <v>68.849999999999994</v>
      </c>
      <c r="H784" s="21">
        <f>C780*(0.15)</f>
        <v>37.35</v>
      </c>
      <c r="I784" s="21">
        <f>G784-H784</f>
        <v>31.499999999999993</v>
      </c>
      <c r="J784" s="22">
        <f>I784/G784</f>
        <v>0.45751633986928097</v>
      </c>
    </row>
    <row r="785" spans="1:10" x14ac:dyDescent="0.3">
      <c r="A785">
        <v>2027</v>
      </c>
      <c r="B785" s="2">
        <f>_xlfn.FORECAST.LINEAR(A785,B780:B784,A780:A784)</f>
        <v>-505.11428571434226</v>
      </c>
      <c r="C785" s="2">
        <f>_xlfn.FORECAST.LINEAR(A785,C780:C784,A780:A784)</f>
        <v>-261.228571428539</v>
      </c>
      <c r="D785" s="2">
        <f>B785-C785</f>
        <v>-243.88571428580326</v>
      </c>
      <c r="E785" s="1">
        <f t="shared" si="58"/>
        <v>0.48283273940845967</v>
      </c>
      <c r="F785">
        <v>2027</v>
      </c>
      <c r="G785" s="21">
        <f>G784*(0.38)</f>
        <v>26.162999999999997</v>
      </c>
      <c r="H785" s="21">
        <f>H784*0.38</f>
        <v>14.193000000000001</v>
      </c>
      <c r="I785" s="21">
        <f>G785-H785</f>
        <v>11.969999999999995</v>
      </c>
      <c r="J785" s="22">
        <f>I785/G785</f>
        <v>0.45751633986928092</v>
      </c>
    </row>
    <row r="786" spans="1:10" x14ac:dyDescent="0.3">
      <c r="A786" s="6" t="s">
        <v>80</v>
      </c>
      <c r="B786" s="7">
        <f>SUM(B787:B794)</f>
        <v>1919.0476190476256</v>
      </c>
      <c r="C786" s="7">
        <f t="shared" ref="C786:D786" si="62">SUM(C787:C794)</f>
        <v>683.80952380952658</v>
      </c>
      <c r="D786" s="7">
        <f t="shared" si="62"/>
        <v>1235.238095238099</v>
      </c>
      <c r="E786" s="1">
        <f t="shared" si="58"/>
        <v>0.64367245657568217</v>
      </c>
    </row>
    <row r="787" spans="1:10" x14ac:dyDescent="0.3">
      <c r="A787">
        <v>2019</v>
      </c>
      <c r="B787" s="2">
        <v>181</v>
      </c>
      <c r="C787" s="2">
        <v>123</v>
      </c>
      <c r="D787" s="2">
        <v>58</v>
      </c>
      <c r="E787" s="1">
        <f t="shared" si="58"/>
        <v>0.32044198895027626</v>
      </c>
    </row>
    <row r="788" spans="1:10" x14ac:dyDescent="0.3">
      <c r="A788">
        <v>2020</v>
      </c>
      <c r="B788" s="2">
        <v>204</v>
      </c>
      <c r="C788" s="2">
        <v>113</v>
      </c>
      <c r="D788" s="2">
        <v>91</v>
      </c>
      <c r="E788" s="1">
        <f t="shared" si="58"/>
        <v>0.44607843137254904</v>
      </c>
    </row>
    <row r="789" spans="1:10" x14ac:dyDescent="0.3">
      <c r="A789">
        <v>2021</v>
      </c>
      <c r="B789" s="2">
        <v>204</v>
      </c>
      <c r="C789" s="2">
        <v>113</v>
      </c>
      <c r="D789" s="2">
        <v>91</v>
      </c>
      <c r="E789" s="1">
        <f t="shared" si="58"/>
        <v>0.44607843137254904</v>
      </c>
    </row>
    <row r="790" spans="1:10" x14ac:dyDescent="0.3">
      <c r="A790">
        <v>2022</v>
      </c>
      <c r="B790" s="2">
        <v>213</v>
      </c>
      <c r="C790" s="2">
        <v>101</v>
      </c>
      <c r="D790" s="2">
        <v>112</v>
      </c>
      <c r="E790" s="1">
        <f t="shared" si="58"/>
        <v>0.5258215962441315</v>
      </c>
    </row>
    <row r="791" spans="1:10" x14ac:dyDescent="0.3">
      <c r="A791">
        <v>2023</v>
      </c>
      <c r="B791" s="2">
        <v>253</v>
      </c>
      <c r="C791" s="2">
        <v>76</v>
      </c>
      <c r="D791" s="2">
        <v>177</v>
      </c>
      <c r="E791" s="1">
        <f t="shared" si="58"/>
        <v>0.69960474308300391</v>
      </c>
    </row>
    <row r="792" spans="1:10" x14ac:dyDescent="0.3">
      <c r="A792">
        <v>2024</v>
      </c>
      <c r="B792" s="2">
        <v>263</v>
      </c>
      <c r="C792" s="2">
        <v>70</v>
      </c>
      <c r="D792" s="2">
        <v>193</v>
      </c>
      <c r="E792" s="1">
        <f t="shared" si="58"/>
        <v>0.73384030418250945</v>
      </c>
    </row>
    <row r="793" spans="1:10" x14ac:dyDescent="0.3">
      <c r="A793">
        <v>2026</v>
      </c>
      <c r="B793" s="2">
        <f>_xlfn.FORECAST.LINEAR(A793,B787:B792,A787:A792)</f>
        <v>292.43809523809614</v>
      </c>
      <c r="C793" s="2">
        <f>_xlfn.FORECAST.LINEAR(A793,C787:C792,A787:A792)</f>
        <v>49.44761904761981</v>
      </c>
      <c r="D793" s="2">
        <f>B793-C793</f>
        <v>242.99047619047633</v>
      </c>
      <c r="E793" s="1">
        <f t="shared" si="58"/>
        <v>0.83091252523936476</v>
      </c>
    </row>
    <row r="794" spans="1:10" x14ac:dyDescent="0.3">
      <c r="A794">
        <v>2027</v>
      </c>
      <c r="B794" s="2">
        <f>_xlfn.FORECAST.LINEAR(A794,B787:B793,A787:A793)</f>
        <v>308.60952380952949</v>
      </c>
      <c r="C794" s="2">
        <f>_xlfn.FORECAST.LINEAR(A794,C787:C793,A787:A793)</f>
        <v>38.361904761906771</v>
      </c>
      <c r="D794" s="2">
        <f>B794-C794</f>
        <v>270.24761904762272</v>
      </c>
      <c r="E794" s="1">
        <f t="shared" si="58"/>
        <v>0.87569435872114132</v>
      </c>
    </row>
    <row r="795" spans="1:10" x14ac:dyDescent="0.3">
      <c r="A795" s="6" t="s">
        <v>81</v>
      </c>
      <c r="B795" s="7">
        <f>SUM(B796:B804)</f>
        <v>267915.53571428545</v>
      </c>
      <c r="C795" s="7">
        <f t="shared" ref="C795:D795" si="63">SUM(C796:C804)</f>
        <v>146074.50000000093</v>
      </c>
      <c r="D795" s="7">
        <f t="shared" si="63"/>
        <v>121841.03571428452</v>
      </c>
      <c r="E795" s="1">
        <f t="shared" si="58"/>
        <v>0.45477405925507836</v>
      </c>
    </row>
    <row r="796" spans="1:10" x14ac:dyDescent="0.3">
      <c r="A796">
        <v>2019</v>
      </c>
      <c r="B796" s="2">
        <v>41214</v>
      </c>
      <c r="C796" s="2">
        <v>24121</v>
      </c>
      <c r="D796" s="2">
        <v>17093</v>
      </c>
      <c r="E796" s="1">
        <f t="shared" si="58"/>
        <v>0.41473771048672781</v>
      </c>
    </row>
    <row r="797" spans="1:10" x14ac:dyDescent="0.3">
      <c r="A797">
        <v>2020</v>
      </c>
      <c r="B797" s="2">
        <v>49957</v>
      </c>
      <c r="C797" s="2">
        <v>27458</v>
      </c>
      <c r="D797" s="2">
        <v>22499</v>
      </c>
      <c r="E797" s="1">
        <f t="shared" si="58"/>
        <v>0.45036731589166684</v>
      </c>
    </row>
    <row r="798" spans="1:10" x14ac:dyDescent="0.3">
      <c r="A798">
        <v>2021</v>
      </c>
      <c r="B798" s="2">
        <v>43669</v>
      </c>
      <c r="C798" s="2">
        <v>22677</v>
      </c>
      <c r="D798" s="2">
        <v>20992</v>
      </c>
      <c r="E798" s="1">
        <f t="shared" si="58"/>
        <v>0.48070713778653051</v>
      </c>
    </row>
    <row r="799" spans="1:10" x14ac:dyDescent="0.3">
      <c r="A799">
        <v>2022</v>
      </c>
      <c r="B799" s="2">
        <v>27156</v>
      </c>
      <c r="C799" s="2">
        <v>12497</v>
      </c>
      <c r="D799" s="2">
        <v>14659</v>
      </c>
      <c r="E799" s="1">
        <f t="shared" si="58"/>
        <v>0.53980704080129627</v>
      </c>
    </row>
    <row r="800" spans="1:10" x14ac:dyDescent="0.3">
      <c r="A800">
        <v>2023</v>
      </c>
      <c r="B800" s="2">
        <v>25508</v>
      </c>
      <c r="C800" s="2">
        <v>12939</v>
      </c>
      <c r="D800" s="2">
        <v>12569</v>
      </c>
      <c r="E800" s="1">
        <f t="shared" si="58"/>
        <v>0.49274737337305941</v>
      </c>
    </row>
    <row r="801" spans="1:5" x14ac:dyDescent="0.3">
      <c r="A801">
        <v>2024</v>
      </c>
      <c r="B801" s="2">
        <v>26170</v>
      </c>
      <c r="C801" s="2">
        <v>14329</v>
      </c>
      <c r="D801" s="2">
        <v>11841</v>
      </c>
      <c r="E801" s="1">
        <f t="shared" si="58"/>
        <v>0.45246465418418036</v>
      </c>
    </row>
    <row r="802" spans="1:5" x14ac:dyDescent="0.3">
      <c r="A802">
        <v>2025</v>
      </c>
      <c r="B802" s="2">
        <v>24028</v>
      </c>
      <c r="C802" s="2">
        <v>15247</v>
      </c>
      <c r="D802" s="2">
        <v>8781</v>
      </c>
      <c r="E802" s="1">
        <f t="shared" si="58"/>
        <v>0.36544864324954218</v>
      </c>
    </row>
    <row r="803" spans="1:5" x14ac:dyDescent="0.3">
      <c r="A803">
        <v>2026</v>
      </c>
      <c r="B803" s="2">
        <f>_xlfn.FORECAST.LINEAR(A803,B796:B802,A796:A802)</f>
        <v>17201.285714285448</v>
      </c>
      <c r="C803" s="2">
        <f>_xlfn.FORECAST.LINEAR(A803,C796:C802,A796:A802)</f>
        <v>9521.4285714291036</v>
      </c>
      <c r="D803" s="2">
        <f>B803-C803</f>
        <v>7679.8571428563446</v>
      </c>
      <c r="E803" s="1">
        <f t="shared" si="58"/>
        <v>0.44646994825964209</v>
      </c>
    </row>
    <row r="804" spans="1:5" x14ac:dyDescent="0.3">
      <c r="A804">
        <v>2027</v>
      </c>
      <c r="B804" s="2">
        <f>_xlfn.FORECAST.LINEAR(A804,B796:B803,A796:A803)</f>
        <v>13012.25</v>
      </c>
      <c r="C804" s="2">
        <f>_xlfn.FORECAST.LINEAR(A804,C796:C803,A796:A803)</f>
        <v>7285.0714285718277</v>
      </c>
      <c r="D804" s="2">
        <f>B804-C804</f>
        <v>5727.1785714281723</v>
      </c>
      <c r="E804" s="1">
        <f t="shared" si="58"/>
        <v>0.4401374528946318</v>
      </c>
    </row>
    <row r="805" spans="1:5" x14ac:dyDescent="0.3">
      <c r="A805" s="6" t="s">
        <v>82</v>
      </c>
      <c r="B805" s="7">
        <f>SUM(B806:B813)</f>
        <v>66273.756756756688</v>
      </c>
      <c r="C805" s="7">
        <f t="shared" ref="C805:D805" si="64">SUM(C806:C813)</f>
        <v>18094.25675675676</v>
      </c>
      <c r="D805" s="7">
        <f t="shared" si="64"/>
        <v>48179.499999999927</v>
      </c>
      <c r="E805" s="1">
        <f t="shared" si="58"/>
        <v>0.72697704729237289</v>
      </c>
    </row>
    <row r="806" spans="1:5" x14ac:dyDescent="0.3">
      <c r="A806">
        <v>2019</v>
      </c>
      <c r="B806" s="2">
        <v>11371</v>
      </c>
      <c r="C806" s="2">
        <v>3258</v>
      </c>
      <c r="D806" s="2">
        <v>8113</v>
      </c>
      <c r="E806" s="1">
        <f t="shared" si="58"/>
        <v>0.71348166388180456</v>
      </c>
    </row>
    <row r="807" spans="1:5" x14ac:dyDescent="0.3">
      <c r="A807">
        <v>2021</v>
      </c>
      <c r="B807" s="2">
        <v>8300</v>
      </c>
      <c r="C807" s="2">
        <v>1712</v>
      </c>
      <c r="D807" s="2">
        <v>6588</v>
      </c>
      <c r="E807" s="1">
        <f t="shared" si="58"/>
        <v>0.7937349397590362</v>
      </c>
    </row>
    <row r="808" spans="1:5" x14ac:dyDescent="0.3">
      <c r="A808">
        <v>2022</v>
      </c>
      <c r="B808" s="2">
        <v>8350</v>
      </c>
      <c r="C808" s="2">
        <v>995</v>
      </c>
      <c r="D808" s="2">
        <v>7355</v>
      </c>
      <c r="E808" s="1">
        <f t="shared" si="58"/>
        <v>0.88083832335329337</v>
      </c>
    </row>
    <row r="809" spans="1:5" x14ac:dyDescent="0.3">
      <c r="A809">
        <v>2023</v>
      </c>
      <c r="B809" s="2">
        <v>11356</v>
      </c>
      <c r="C809" s="2">
        <v>5258</v>
      </c>
      <c r="D809" s="2">
        <v>6098</v>
      </c>
      <c r="E809" s="1">
        <f t="shared" si="58"/>
        <v>0.53698485382176819</v>
      </c>
    </row>
    <row r="810" spans="1:5" x14ac:dyDescent="0.3">
      <c r="A810">
        <v>2024</v>
      </c>
      <c r="B810" s="2">
        <v>9248</v>
      </c>
      <c r="C810" s="2">
        <v>1756</v>
      </c>
      <c r="D810" s="2">
        <v>7492</v>
      </c>
      <c r="E810" s="1">
        <f t="shared" si="58"/>
        <v>0.81012110726643594</v>
      </c>
    </row>
    <row r="811" spans="1:5" x14ac:dyDescent="0.3">
      <c r="A811">
        <v>2025</v>
      </c>
      <c r="E811" s="1" t="e">
        <f t="shared" si="58"/>
        <v>#DIV/0!</v>
      </c>
    </row>
    <row r="812" spans="1:5" x14ac:dyDescent="0.3">
      <c r="A812">
        <v>2026</v>
      </c>
      <c r="B812" s="2">
        <f>_xlfn.FORECAST.LINEAR(A812,B806:B811,A806:A811)</f>
        <v>8920.1891891891719</v>
      </c>
      <c r="C812" s="2">
        <f>_xlfn.FORECAST.LINEAR(A812,C806:C811,A806:A811)</f>
        <v>2561.6891891891901</v>
      </c>
      <c r="D812" s="2">
        <f>B812-C812</f>
        <v>6358.4999999999818</v>
      </c>
      <c r="E812" s="1">
        <f t="shared" ref="E812:E813" si="65">D812/B812</f>
        <v>0.71282120425272699</v>
      </c>
    </row>
    <row r="813" spans="1:5" x14ac:dyDescent="0.3">
      <c r="A813">
        <v>2027</v>
      </c>
      <c r="B813" s="2">
        <f>_xlfn.FORECAST.LINEAR(A813,B806:B812,A806:A812)</f>
        <v>8728.5675675675157</v>
      </c>
      <c r="C813" s="2">
        <f>_xlfn.FORECAST.LINEAR(A813,C806:C812,A806:A812)</f>
        <v>2553.5675675675702</v>
      </c>
      <c r="D813" s="2">
        <f>B813-C813</f>
        <v>6174.9999999999454</v>
      </c>
      <c r="E813" s="1">
        <f t="shared" si="65"/>
        <v>0.70744712144340993</v>
      </c>
    </row>
  </sheetData>
  <autoFilter ref="A1:E810" xr:uid="{F8B4948D-88A5-45B1-9129-F7D1946DE004}"/>
  <mergeCells count="36">
    <mergeCell ref="F107:J107"/>
    <mergeCell ref="F121:J121"/>
    <mergeCell ref="G517:J519"/>
    <mergeCell ref="G372:I373"/>
    <mergeCell ref="G396:I399"/>
    <mergeCell ref="G444:I447"/>
    <mergeCell ref="G291:J291"/>
    <mergeCell ref="F268:K268"/>
    <mergeCell ref="F270:K270"/>
    <mergeCell ref="G289:J290"/>
    <mergeCell ref="G254:L255"/>
    <mergeCell ref="F135:K136"/>
    <mergeCell ref="H1:N1"/>
    <mergeCell ref="F105:J105"/>
    <mergeCell ref="F98:L99"/>
    <mergeCell ref="H2:P8"/>
    <mergeCell ref="G355:J355"/>
    <mergeCell ref="G325:J325"/>
    <mergeCell ref="G326:J327"/>
    <mergeCell ref="G323:L323"/>
    <mergeCell ref="G292:J292"/>
    <mergeCell ref="G293:J293"/>
    <mergeCell ref="G324:J324"/>
    <mergeCell ref="G109:J109"/>
    <mergeCell ref="G342:I342"/>
    <mergeCell ref="G343:J343"/>
    <mergeCell ref="G344:J344"/>
    <mergeCell ref="G354:J354"/>
    <mergeCell ref="G749:J755"/>
    <mergeCell ref="G779:J781"/>
    <mergeCell ref="G684:J690"/>
    <mergeCell ref="G675:J680"/>
    <mergeCell ref="F377:I378"/>
    <mergeCell ref="G600:J602"/>
    <mergeCell ref="G656:J661"/>
    <mergeCell ref="G455:I458"/>
  </mergeCells>
  <phoneticPr fontId="3" type="noConversion"/>
  <conditionalFormatting sqref="E2:E813">
    <cfRule type="colorScale" priority="4">
      <colorScale>
        <cfvo type="min"/>
        <cfvo type="percentile" val="50"/>
        <cfvo type="max"/>
        <color rgb="FFF8696B"/>
        <color rgb="FFFCFCFF"/>
        <color rgb="FF63BE7B"/>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52537-4D22-4ED6-971D-92FBD01FA6C2}">
  <dimension ref="A1:J25"/>
  <sheetViews>
    <sheetView topLeftCell="A3" workbookViewId="0">
      <selection sqref="A1:D1"/>
    </sheetView>
  </sheetViews>
  <sheetFormatPr defaultRowHeight="14.4" x14ac:dyDescent="0.3"/>
  <cols>
    <col min="1" max="1" width="16.109375" customWidth="1"/>
    <col min="2" max="2" width="27.21875" customWidth="1"/>
    <col min="3" max="3" width="24.109375" customWidth="1"/>
    <col min="4" max="4" width="31.77734375" customWidth="1"/>
  </cols>
  <sheetData>
    <row r="1" spans="1:10" ht="17.399999999999999" x14ac:dyDescent="0.3">
      <c r="A1" s="73" t="s">
        <v>172</v>
      </c>
      <c r="B1" s="67"/>
      <c r="C1" s="67"/>
      <c r="D1" s="67"/>
    </row>
    <row r="2" spans="1:10" x14ac:dyDescent="0.3">
      <c r="A2" s="74" t="s">
        <v>173</v>
      </c>
      <c r="B2" s="67"/>
      <c r="C2" s="67"/>
      <c r="D2" s="67"/>
    </row>
    <row r="3" spans="1:10" x14ac:dyDescent="0.3">
      <c r="A3" s="23" t="s">
        <v>114</v>
      </c>
      <c r="B3" s="23" t="s">
        <v>174</v>
      </c>
      <c r="C3" s="23" t="s">
        <v>175</v>
      </c>
      <c r="D3" s="23" t="s">
        <v>176</v>
      </c>
    </row>
    <row r="4" spans="1:10" x14ac:dyDescent="0.3">
      <c r="A4" s="24">
        <v>2019</v>
      </c>
      <c r="B4" s="46">
        <v>73252985</v>
      </c>
      <c r="C4" s="24" t="s">
        <v>158</v>
      </c>
      <c r="D4" s="26"/>
    </row>
    <row r="5" spans="1:10" x14ac:dyDescent="0.3">
      <c r="A5" s="27">
        <v>2020</v>
      </c>
      <c r="B5" s="49">
        <v>51818833</v>
      </c>
      <c r="C5" s="47">
        <v>-0.29260448567386033</v>
      </c>
      <c r="D5" s="29"/>
    </row>
    <row r="6" spans="1:10" x14ac:dyDescent="0.3">
      <c r="A6" s="24">
        <v>2021</v>
      </c>
      <c r="B6" s="46">
        <v>43105004</v>
      </c>
      <c r="C6" s="50">
        <v>-0.16815949907632999</v>
      </c>
      <c r="D6" s="26"/>
    </row>
    <row r="7" spans="1:10" x14ac:dyDescent="0.3">
      <c r="A7" s="27">
        <v>2022</v>
      </c>
      <c r="B7" s="49">
        <v>39025000</v>
      </c>
      <c r="C7" s="50">
        <v>-9.4652676519876897E-2</v>
      </c>
      <c r="D7" s="29"/>
    </row>
    <row r="8" spans="1:10" x14ac:dyDescent="0.3">
      <c r="A8" s="24">
        <v>2023</v>
      </c>
      <c r="B8" s="46">
        <v>33800000</v>
      </c>
      <c r="C8" s="50">
        <v>-0.133888532991672</v>
      </c>
      <c r="D8" s="26"/>
    </row>
    <row r="9" spans="1:10" x14ac:dyDescent="0.3">
      <c r="A9" s="27">
        <v>2024</v>
      </c>
      <c r="B9" s="49">
        <v>29338000</v>
      </c>
      <c r="C9" s="50">
        <v>-0.13201183431952659</v>
      </c>
      <c r="D9" s="29"/>
    </row>
    <row r="10" spans="1:10" x14ac:dyDescent="0.3">
      <c r="A10" s="32">
        <v>2025</v>
      </c>
      <c r="B10" s="51">
        <v>17285494</v>
      </c>
      <c r="C10" s="47">
        <v>-0.41081552934760379</v>
      </c>
      <c r="D10" s="35" t="s">
        <v>177</v>
      </c>
    </row>
    <row r="11" spans="1:10" x14ac:dyDescent="0.3">
      <c r="A11" s="36">
        <v>2026</v>
      </c>
      <c r="B11" s="52">
        <v>9350882</v>
      </c>
      <c r="C11" s="47">
        <v>-0.45903299032124861</v>
      </c>
      <c r="D11" s="37" t="s">
        <v>177</v>
      </c>
    </row>
    <row r="12" spans="1:10" x14ac:dyDescent="0.3">
      <c r="A12" s="32">
        <v>2027</v>
      </c>
      <c r="B12" s="51">
        <v>1416270</v>
      </c>
      <c r="C12" s="53">
        <v>-0.84854156003679648</v>
      </c>
      <c r="D12" s="35" t="s">
        <v>177</v>
      </c>
    </row>
    <row r="15" spans="1:10" x14ac:dyDescent="0.3">
      <c r="A15" s="74" t="s">
        <v>183</v>
      </c>
      <c r="B15" s="67"/>
      <c r="C15" s="67"/>
      <c r="D15" s="67"/>
      <c r="E15" s="67"/>
      <c r="F15" s="67"/>
      <c r="G15" s="67"/>
      <c r="H15" s="67"/>
      <c r="I15" s="67"/>
      <c r="J15" s="67"/>
    </row>
    <row r="16" spans="1:10" x14ac:dyDescent="0.3">
      <c r="A16" s="38" t="s">
        <v>148</v>
      </c>
      <c r="B16" s="38" t="s">
        <v>149</v>
      </c>
      <c r="C16" s="38" t="s">
        <v>150</v>
      </c>
      <c r="D16" s="38" t="s">
        <v>151</v>
      </c>
      <c r="E16" s="38" t="s">
        <v>152</v>
      </c>
      <c r="F16" s="38" t="s">
        <v>153</v>
      </c>
      <c r="G16" s="38" t="s">
        <v>154</v>
      </c>
      <c r="H16" s="38" t="s">
        <v>155</v>
      </c>
      <c r="I16" s="38" t="s">
        <v>156</v>
      </c>
      <c r="J16" s="38" t="s">
        <v>157</v>
      </c>
    </row>
    <row r="17" spans="1:10" x14ac:dyDescent="0.3">
      <c r="A17" s="39" t="s">
        <v>149</v>
      </c>
      <c r="B17" s="40" t="s">
        <v>158</v>
      </c>
      <c r="C17" s="50">
        <v>0.70739551432613978</v>
      </c>
      <c r="D17" s="47">
        <v>0.58844023898821329</v>
      </c>
      <c r="E17" s="47">
        <v>0.53274279539598279</v>
      </c>
      <c r="F17" s="47">
        <v>0.46141464405853222</v>
      </c>
      <c r="G17" s="47">
        <v>0.40050245051447392</v>
      </c>
      <c r="H17" s="53">
        <v>0.23596982430135779</v>
      </c>
      <c r="I17" s="53">
        <v>0.12765189022672591</v>
      </c>
      <c r="J17" s="53">
        <v>1.933395615209401E-2</v>
      </c>
    </row>
    <row r="18" spans="1:10" x14ac:dyDescent="0.3">
      <c r="A18" s="39" t="s">
        <v>150</v>
      </c>
      <c r="B18" s="41"/>
      <c r="C18" s="40" t="s">
        <v>158</v>
      </c>
      <c r="D18" s="50">
        <v>0.83184050092367001</v>
      </c>
      <c r="E18" s="50">
        <v>0.75310457107360951</v>
      </c>
      <c r="F18" s="47">
        <v>0.65227250486324151</v>
      </c>
      <c r="G18" s="47">
        <v>0.56616481502005267</v>
      </c>
      <c r="H18" s="53">
        <v>0.33357551683960152</v>
      </c>
      <c r="I18" s="53">
        <v>0.1804533498467632</v>
      </c>
      <c r="J18" s="53">
        <v>2.733118285392494E-2</v>
      </c>
    </row>
    <row r="19" spans="1:10" x14ac:dyDescent="0.3">
      <c r="A19" s="39" t="s">
        <v>151</v>
      </c>
      <c r="B19" s="41"/>
      <c r="C19" s="41"/>
      <c r="D19" s="40" t="s">
        <v>158</v>
      </c>
      <c r="E19" s="50">
        <v>0.90534732348012315</v>
      </c>
      <c r="F19" s="50">
        <v>0.78413169849143272</v>
      </c>
      <c r="G19" s="47">
        <v>0.68061703462549272</v>
      </c>
      <c r="H19" s="47">
        <v>0.40100898726282452</v>
      </c>
      <c r="I19" s="53">
        <v>0.21693263269387469</v>
      </c>
      <c r="J19" s="53">
        <v>3.2856278124924893E-2</v>
      </c>
    </row>
    <row r="20" spans="1:10" x14ac:dyDescent="0.3">
      <c r="A20" s="39" t="s">
        <v>152</v>
      </c>
      <c r="B20" s="41"/>
      <c r="C20" s="41"/>
      <c r="D20" s="41"/>
      <c r="E20" s="40" t="s">
        <v>158</v>
      </c>
      <c r="F20" s="50">
        <v>0.86611146700832797</v>
      </c>
      <c r="G20" s="50">
        <v>0.75177450352338249</v>
      </c>
      <c r="H20" s="47">
        <v>0.44293386290839198</v>
      </c>
      <c r="I20" s="53">
        <v>0.2396126073030109</v>
      </c>
      <c r="J20" s="53">
        <v>3.6291351697629717E-2</v>
      </c>
    </row>
    <row r="21" spans="1:10" x14ac:dyDescent="0.3">
      <c r="A21" s="39" t="s">
        <v>153</v>
      </c>
      <c r="B21" s="41"/>
      <c r="C21" s="41"/>
      <c r="D21" s="41"/>
      <c r="E21" s="41"/>
      <c r="F21" s="40" t="s">
        <v>158</v>
      </c>
      <c r="G21" s="50">
        <v>0.86798816568047332</v>
      </c>
      <c r="H21" s="47">
        <v>0.51140514792899405</v>
      </c>
      <c r="I21" s="53">
        <v>0.27665331360946738</v>
      </c>
      <c r="J21" s="53">
        <v>4.1901479289940827E-2</v>
      </c>
    </row>
    <row r="22" spans="1:10" x14ac:dyDescent="0.3">
      <c r="A22" s="39" t="s">
        <v>154</v>
      </c>
      <c r="B22" s="41"/>
      <c r="C22" s="41"/>
      <c r="D22" s="41"/>
      <c r="E22" s="41"/>
      <c r="F22" s="41"/>
      <c r="G22" s="40" t="s">
        <v>158</v>
      </c>
      <c r="H22" s="47">
        <v>0.58918447065239621</v>
      </c>
      <c r="I22" s="53">
        <v>0.31872936123798479</v>
      </c>
      <c r="J22" s="53">
        <v>4.8274251823573519E-2</v>
      </c>
    </row>
    <row r="23" spans="1:10" x14ac:dyDescent="0.3">
      <c r="A23" s="39" t="s">
        <v>155</v>
      </c>
      <c r="B23" s="41"/>
      <c r="C23" s="41"/>
      <c r="D23" s="41"/>
      <c r="E23" s="41"/>
      <c r="F23" s="41"/>
      <c r="G23" s="41"/>
      <c r="H23" s="40" t="s">
        <v>158</v>
      </c>
      <c r="I23" s="47">
        <v>0.54096700967875144</v>
      </c>
      <c r="J23" s="53">
        <v>8.1934019357502885E-2</v>
      </c>
    </row>
    <row r="24" spans="1:10" x14ac:dyDescent="0.3">
      <c r="A24" s="39" t="s">
        <v>156</v>
      </c>
      <c r="B24" s="41"/>
      <c r="C24" s="41"/>
      <c r="D24" s="41"/>
      <c r="E24" s="41"/>
      <c r="F24" s="41"/>
      <c r="G24" s="41"/>
      <c r="H24" s="41"/>
      <c r="I24" s="40" t="s">
        <v>158</v>
      </c>
      <c r="J24" s="53">
        <v>0.15145843996320349</v>
      </c>
    </row>
    <row r="25" spans="1:10" x14ac:dyDescent="0.3">
      <c r="A25" s="39" t="s">
        <v>157</v>
      </c>
      <c r="B25" s="41"/>
      <c r="C25" s="41"/>
      <c r="D25" s="41"/>
      <c r="E25" s="41"/>
      <c r="F25" s="41"/>
      <c r="G25" s="41"/>
      <c r="H25" s="41"/>
      <c r="I25" s="41"/>
      <c r="J25" s="40" t="s">
        <v>158</v>
      </c>
    </row>
  </sheetData>
  <mergeCells count="3">
    <mergeCell ref="A1:D1"/>
    <mergeCell ref="A2:D2"/>
    <mergeCell ref="A15:J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FD287-4983-45C4-9AA7-FD2DBFA3E61A}">
  <dimension ref="A1:J77"/>
  <sheetViews>
    <sheetView workbookViewId="0">
      <selection activeCell="M12" sqref="M12"/>
    </sheetView>
  </sheetViews>
  <sheetFormatPr defaultRowHeight="14.4" x14ac:dyDescent="0.3"/>
  <cols>
    <col min="2" max="2" width="15.109375" customWidth="1"/>
    <col min="3" max="3" width="15.88671875" customWidth="1"/>
    <col min="4" max="4" width="17.5546875" customWidth="1"/>
    <col min="5" max="5" width="15.109375" customWidth="1"/>
    <col min="6" max="6" width="16" customWidth="1"/>
    <col min="7" max="7" width="29.6640625" customWidth="1"/>
  </cols>
  <sheetData>
    <row r="1" spans="1:10" ht="17.399999999999999" x14ac:dyDescent="0.3">
      <c r="A1" s="73" t="s">
        <v>141</v>
      </c>
      <c r="B1" s="67"/>
      <c r="C1" s="67"/>
      <c r="D1" s="67"/>
      <c r="E1" s="67"/>
      <c r="F1" s="67"/>
      <c r="G1" s="67"/>
    </row>
    <row r="2" spans="1:10" x14ac:dyDescent="0.3">
      <c r="A2" s="74" t="s">
        <v>142</v>
      </c>
      <c r="B2" s="67"/>
      <c r="C2" s="67"/>
      <c r="D2" s="67"/>
      <c r="E2" s="67"/>
      <c r="F2" s="67"/>
      <c r="G2" s="67"/>
    </row>
    <row r="3" spans="1:10" x14ac:dyDescent="0.3">
      <c r="A3" s="23" t="s">
        <v>114</v>
      </c>
      <c r="B3" s="23" t="s">
        <v>143</v>
      </c>
      <c r="C3" s="23" t="s">
        <v>135</v>
      </c>
      <c r="D3" s="23" t="s">
        <v>144</v>
      </c>
      <c r="E3" s="23" t="s">
        <v>145</v>
      </c>
      <c r="F3" s="23" t="s">
        <v>136</v>
      </c>
      <c r="G3" s="23" t="s">
        <v>146</v>
      </c>
    </row>
    <row r="4" spans="1:10" x14ac:dyDescent="0.3">
      <c r="A4" s="24">
        <v>2019</v>
      </c>
      <c r="B4" s="25">
        <v>8.5000000000000006E-2</v>
      </c>
      <c r="C4" s="25">
        <v>0.17899999999999999</v>
      </c>
      <c r="D4" s="25">
        <v>5.5E-2</v>
      </c>
      <c r="E4" s="25">
        <v>6.2E-2</v>
      </c>
      <c r="F4" s="25">
        <v>0.61899999999999999</v>
      </c>
      <c r="G4" s="26"/>
    </row>
    <row r="5" spans="1:10" x14ac:dyDescent="0.3">
      <c r="A5" s="27">
        <v>2020</v>
      </c>
      <c r="B5" s="28">
        <v>0.08</v>
      </c>
      <c r="C5" s="28">
        <v>0.17899999999999999</v>
      </c>
      <c r="D5" s="28">
        <v>5.1999999999999998E-2</v>
      </c>
      <c r="E5" s="28">
        <v>0.06</v>
      </c>
      <c r="F5" s="28">
        <v>0.629</v>
      </c>
      <c r="G5" s="29"/>
    </row>
    <row r="6" spans="1:10" x14ac:dyDescent="0.3">
      <c r="A6" s="24">
        <v>2021</v>
      </c>
      <c r="B6" s="25">
        <v>7.4999999999999997E-2</v>
      </c>
      <c r="C6" s="25">
        <v>0.16700000000000001</v>
      </c>
      <c r="D6" s="25">
        <v>0.05</v>
      </c>
      <c r="E6" s="25">
        <v>5.8000000000000003E-2</v>
      </c>
      <c r="F6" s="25">
        <v>0.65</v>
      </c>
      <c r="G6" s="26"/>
    </row>
    <row r="7" spans="1:10" x14ac:dyDescent="0.3">
      <c r="A7" s="27">
        <v>2022</v>
      </c>
      <c r="B7" s="28">
        <v>6.9000000000000006E-2</v>
      </c>
      <c r="C7" s="28">
        <v>0.17599999999999999</v>
      </c>
      <c r="D7" s="28">
        <v>4.8000000000000001E-2</v>
      </c>
      <c r="E7" s="28">
        <v>5.0999999999999997E-2</v>
      </c>
      <c r="F7" s="28">
        <v>0.65600000000000003</v>
      </c>
      <c r="G7" s="29"/>
    </row>
    <row r="8" spans="1:10" x14ac:dyDescent="0.3">
      <c r="A8" s="24">
        <v>2023</v>
      </c>
      <c r="B8" s="25">
        <v>0.05</v>
      </c>
      <c r="C8" s="25">
        <v>0.109</v>
      </c>
      <c r="D8" s="25">
        <v>3.5000000000000003E-2</v>
      </c>
      <c r="E8" s="25">
        <v>3.3000000000000002E-2</v>
      </c>
      <c r="F8" s="25">
        <v>0.77300000000000002</v>
      </c>
      <c r="G8" s="26"/>
    </row>
    <row r="9" spans="1:10" x14ac:dyDescent="0.3">
      <c r="A9" s="27">
        <v>2024</v>
      </c>
      <c r="B9" s="28">
        <v>3.1E-2</v>
      </c>
      <c r="C9" s="28">
        <v>4.2000000000000003E-2</v>
      </c>
      <c r="D9" s="28">
        <v>3.1E-2</v>
      </c>
      <c r="E9" s="30">
        <v>1.6E-2</v>
      </c>
      <c r="F9" s="31">
        <v>0.88</v>
      </c>
      <c r="G9" s="29"/>
    </row>
    <row r="10" spans="1:10" x14ac:dyDescent="0.3">
      <c r="A10" s="32">
        <v>2025</v>
      </c>
      <c r="B10" s="33">
        <v>1.9099999999999999E-2</v>
      </c>
      <c r="C10" s="33">
        <v>1.89E-2</v>
      </c>
      <c r="D10" s="33">
        <v>1.47E-2</v>
      </c>
      <c r="E10" s="33">
        <v>8.3000000000000001E-3</v>
      </c>
      <c r="F10" s="34">
        <v>0.93899999999999995</v>
      </c>
      <c r="G10" s="35" t="s">
        <v>147</v>
      </c>
    </row>
    <row r="11" spans="1:10" x14ac:dyDescent="0.3">
      <c r="A11" s="36">
        <v>2026</v>
      </c>
      <c r="B11" s="33">
        <v>1.4E-2</v>
      </c>
      <c r="C11" s="33">
        <v>8.2000000000000007E-3</v>
      </c>
      <c r="D11" s="33">
        <v>8.9999999999999993E-3</v>
      </c>
      <c r="E11" s="33">
        <v>4.1000000000000003E-3</v>
      </c>
      <c r="F11" s="34">
        <v>0.96719999999999995</v>
      </c>
      <c r="G11" s="37" t="s">
        <v>147</v>
      </c>
    </row>
    <row r="12" spans="1:10" x14ac:dyDescent="0.3">
      <c r="A12" s="32">
        <v>2027</v>
      </c>
      <c r="B12" s="33">
        <v>6.7000000000000002E-3</v>
      </c>
      <c r="C12" s="33">
        <v>3.5000000000000001E-3</v>
      </c>
      <c r="D12" s="33">
        <v>5.4999999999999997E-3</v>
      </c>
      <c r="E12" s="33">
        <v>2E-3</v>
      </c>
      <c r="F12" s="34">
        <v>0.98229999999999995</v>
      </c>
      <c r="G12" s="35" t="s">
        <v>147</v>
      </c>
    </row>
    <row r="15" spans="1:10" x14ac:dyDescent="0.3">
      <c r="A15" s="74" t="s">
        <v>178</v>
      </c>
      <c r="B15" s="67"/>
      <c r="C15" s="67"/>
      <c r="D15" s="67"/>
      <c r="E15" s="67"/>
      <c r="F15" s="67"/>
      <c r="G15" s="67"/>
      <c r="H15" s="67"/>
      <c r="I15" s="67"/>
      <c r="J15" s="67"/>
    </row>
    <row r="16" spans="1:10" x14ac:dyDescent="0.3">
      <c r="A16" s="38" t="s">
        <v>148</v>
      </c>
      <c r="B16" s="38" t="s">
        <v>149</v>
      </c>
      <c r="C16" s="38" t="s">
        <v>150</v>
      </c>
      <c r="D16" s="38" t="s">
        <v>151</v>
      </c>
      <c r="E16" s="38" t="s">
        <v>152</v>
      </c>
      <c r="F16" s="38" t="s">
        <v>153</v>
      </c>
      <c r="G16" s="38" t="s">
        <v>154</v>
      </c>
      <c r="H16" s="38" t="s">
        <v>155</v>
      </c>
      <c r="I16" s="38" t="s">
        <v>156</v>
      </c>
      <c r="J16" s="38" t="s">
        <v>157</v>
      </c>
    </row>
    <row r="17" spans="1:10" x14ac:dyDescent="0.3">
      <c r="A17" s="39" t="s">
        <v>149</v>
      </c>
      <c r="B17" s="40" t="s">
        <v>158</v>
      </c>
      <c r="C17" s="50">
        <v>0.94117647058823528</v>
      </c>
      <c r="D17" s="50">
        <v>0.88235294117647045</v>
      </c>
      <c r="E17" s="50">
        <v>0.81176470588235294</v>
      </c>
      <c r="F17" s="47">
        <v>0.58823529411764708</v>
      </c>
      <c r="G17" s="53">
        <v>0.36470588235294121</v>
      </c>
      <c r="H17" s="53">
        <v>0.22470588235294109</v>
      </c>
      <c r="I17" s="53">
        <v>0.1647058823529412</v>
      </c>
      <c r="J17" s="53">
        <v>7.8823529411764709E-2</v>
      </c>
    </row>
    <row r="18" spans="1:10" x14ac:dyDescent="0.3">
      <c r="A18" s="39" t="s">
        <v>150</v>
      </c>
      <c r="B18" s="41"/>
      <c r="C18" s="40" t="s">
        <v>158</v>
      </c>
      <c r="D18" s="50">
        <v>0.9375</v>
      </c>
      <c r="E18" s="50">
        <v>0.86250000000000004</v>
      </c>
      <c r="F18" s="47">
        <v>0.625</v>
      </c>
      <c r="G18" s="53">
        <v>0.38750000000000001</v>
      </c>
      <c r="H18" s="53">
        <v>0.23874999999999999</v>
      </c>
      <c r="I18" s="53">
        <v>0.17499999999999999</v>
      </c>
      <c r="J18" s="53">
        <v>8.3750000000000005E-2</v>
      </c>
    </row>
    <row r="19" spans="1:10" x14ac:dyDescent="0.3">
      <c r="A19" s="39" t="s">
        <v>151</v>
      </c>
      <c r="B19" s="41"/>
      <c r="C19" s="41"/>
      <c r="D19" s="40" t="s">
        <v>158</v>
      </c>
      <c r="E19" s="50">
        <v>0.92000000000000015</v>
      </c>
      <c r="F19" s="47">
        <v>0.66666666666666674</v>
      </c>
      <c r="G19" s="47">
        <v>0.41333333333333327</v>
      </c>
      <c r="H19" s="53">
        <v>0.25466666666666671</v>
      </c>
      <c r="I19" s="53">
        <v>0.1866666666666667</v>
      </c>
      <c r="J19" s="53">
        <v>8.9333333333333334E-2</v>
      </c>
    </row>
    <row r="20" spans="1:10" x14ac:dyDescent="0.3">
      <c r="A20" s="39" t="s">
        <v>152</v>
      </c>
      <c r="B20" s="41"/>
      <c r="C20" s="41"/>
      <c r="D20" s="41"/>
      <c r="E20" s="40" t="s">
        <v>158</v>
      </c>
      <c r="F20" s="50">
        <v>0.72463768115942029</v>
      </c>
      <c r="G20" s="47">
        <v>0.44927536231884052</v>
      </c>
      <c r="H20" s="53">
        <v>0.27681159420289853</v>
      </c>
      <c r="I20" s="53">
        <v>0.20289855072463769</v>
      </c>
      <c r="J20" s="53">
        <v>9.7101449275362309E-2</v>
      </c>
    </row>
    <row r="21" spans="1:10" x14ac:dyDescent="0.3">
      <c r="A21" s="39" t="s">
        <v>153</v>
      </c>
      <c r="B21" s="41"/>
      <c r="C21" s="41"/>
      <c r="D21" s="41"/>
      <c r="E21" s="41"/>
      <c r="F21" s="40" t="s">
        <v>158</v>
      </c>
      <c r="G21" s="47">
        <v>0.62</v>
      </c>
      <c r="H21" s="53">
        <v>0.38200000000000001</v>
      </c>
      <c r="I21" s="53">
        <v>0.28000000000000003</v>
      </c>
      <c r="J21" s="53">
        <v>0.13400000000000001</v>
      </c>
    </row>
    <row r="22" spans="1:10" x14ac:dyDescent="0.3">
      <c r="A22" s="39" t="s">
        <v>154</v>
      </c>
      <c r="B22" s="41"/>
      <c r="C22" s="41"/>
      <c r="D22" s="41"/>
      <c r="E22" s="41"/>
      <c r="F22" s="41"/>
      <c r="G22" s="40" t="s">
        <v>158</v>
      </c>
      <c r="H22" s="47">
        <v>0.61612903225806448</v>
      </c>
      <c r="I22" s="47">
        <v>0.45161290322580638</v>
      </c>
      <c r="J22" s="53">
        <v>0.21612903225806451</v>
      </c>
    </row>
    <row r="23" spans="1:10" x14ac:dyDescent="0.3">
      <c r="A23" s="39" t="s">
        <v>155</v>
      </c>
      <c r="B23" s="41"/>
      <c r="C23" s="41"/>
      <c r="D23" s="41"/>
      <c r="E23" s="41"/>
      <c r="F23" s="41"/>
      <c r="G23" s="41"/>
      <c r="H23" s="40" t="s">
        <v>158</v>
      </c>
      <c r="I23" s="50">
        <v>0.73298429319371738</v>
      </c>
      <c r="J23" s="53">
        <v>0.35078534031413622</v>
      </c>
    </row>
    <row r="24" spans="1:10" x14ac:dyDescent="0.3">
      <c r="A24" s="39" t="s">
        <v>156</v>
      </c>
      <c r="B24" s="41"/>
      <c r="C24" s="41"/>
      <c r="D24" s="41"/>
      <c r="E24" s="41"/>
      <c r="F24" s="41"/>
      <c r="G24" s="41"/>
      <c r="H24" s="41"/>
      <c r="I24" s="40" t="s">
        <v>158</v>
      </c>
      <c r="J24" s="47">
        <v>0.47857142857142859</v>
      </c>
    </row>
    <row r="25" spans="1:10" x14ac:dyDescent="0.3">
      <c r="A25" s="39" t="s">
        <v>157</v>
      </c>
      <c r="B25" s="41"/>
      <c r="C25" s="41"/>
      <c r="D25" s="41"/>
      <c r="E25" s="41"/>
      <c r="F25" s="41"/>
      <c r="G25" s="41"/>
      <c r="H25" s="41"/>
      <c r="I25" s="41"/>
      <c r="J25" s="40" t="s">
        <v>158</v>
      </c>
    </row>
    <row r="28" spans="1:10" x14ac:dyDescent="0.3">
      <c r="A28" s="74" t="s">
        <v>179</v>
      </c>
      <c r="B28" s="67"/>
      <c r="C28" s="67"/>
      <c r="D28" s="67"/>
      <c r="E28" s="67"/>
      <c r="F28" s="67"/>
      <c r="G28" s="67"/>
      <c r="H28" s="67"/>
      <c r="I28" s="67"/>
      <c r="J28" s="67"/>
    </row>
    <row r="29" spans="1:10" x14ac:dyDescent="0.3">
      <c r="A29" s="38" t="s">
        <v>148</v>
      </c>
      <c r="B29" s="38" t="s">
        <v>149</v>
      </c>
      <c r="C29" s="38" t="s">
        <v>150</v>
      </c>
      <c r="D29" s="38" t="s">
        <v>151</v>
      </c>
      <c r="E29" s="38" t="s">
        <v>152</v>
      </c>
      <c r="F29" s="38" t="s">
        <v>153</v>
      </c>
      <c r="G29" s="38" t="s">
        <v>154</v>
      </c>
      <c r="H29" s="38" t="s">
        <v>155</v>
      </c>
      <c r="I29" s="38" t="s">
        <v>156</v>
      </c>
      <c r="J29" s="38" t="s">
        <v>157</v>
      </c>
    </row>
    <row r="30" spans="1:10" x14ac:dyDescent="0.3">
      <c r="A30" s="39" t="s">
        <v>149</v>
      </c>
      <c r="B30" s="40" t="s">
        <v>158</v>
      </c>
      <c r="C30" s="50">
        <v>1</v>
      </c>
      <c r="D30" s="50">
        <v>0.93296089385474867</v>
      </c>
      <c r="E30" s="50">
        <v>0.98324022346368711</v>
      </c>
      <c r="F30" s="47">
        <v>0.60893854748603349</v>
      </c>
      <c r="G30" s="53">
        <v>0.23463687150837989</v>
      </c>
      <c r="H30" s="53">
        <v>0.10558659217877089</v>
      </c>
      <c r="I30" s="53">
        <v>4.5810055865921788E-2</v>
      </c>
      <c r="J30" s="53">
        <v>1.9553072625698321E-2</v>
      </c>
    </row>
    <row r="31" spans="1:10" x14ac:dyDescent="0.3">
      <c r="A31" s="39" t="s">
        <v>150</v>
      </c>
      <c r="B31" s="41"/>
      <c r="C31" s="40" t="s">
        <v>158</v>
      </c>
      <c r="D31" s="50">
        <v>0.93296089385474867</v>
      </c>
      <c r="E31" s="50">
        <v>0.98324022346368711</v>
      </c>
      <c r="F31" s="47">
        <v>0.60893854748603349</v>
      </c>
      <c r="G31" s="53">
        <v>0.23463687150837989</v>
      </c>
      <c r="H31" s="53">
        <v>0.10558659217877089</v>
      </c>
      <c r="I31" s="53">
        <v>4.5810055865921788E-2</v>
      </c>
      <c r="J31" s="53">
        <v>1.9553072625698321E-2</v>
      </c>
    </row>
    <row r="32" spans="1:10" x14ac:dyDescent="0.3">
      <c r="A32" s="39" t="s">
        <v>151</v>
      </c>
      <c r="B32" s="41"/>
      <c r="C32" s="41"/>
      <c r="D32" s="40" t="s">
        <v>158</v>
      </c>
      <c r="E32" s="50">
        <v>1.0538922155688619</v>
      </c>
      <c r="F32" s="47">
        <v>0.65269461077844304</v>
      </c>
      <c r="G32" s="53">
        <v>0.25149700598802388</v>
      </c>
      <c r="H32" s="53">
        <v>0.1131736526946108</v>
      </c>
      <c r="I32" s="53">
        <v>4.9101796407185629E-2</v>
      </c>
      <c r="J32" s="53">
        <v>2.0958083832335331E-2</v>
      </c>
    </row>
    <row r="33" spans="1:10" x14ac:dyDescent="0.3">
      <c r="A33" s="39" t="s">
        <v>152</v>
      </c>
      <c r="B33" s="41"/>
      <c r="C33" s="41"/>
      <c r="D33" s="41"/>
      <c r="E33" s="40" t="s">
        <v>158</v>
      </c>
      <c r="F33" s="47">
        <v>0.61931818181818188</v>
      </c>
      <c r="G33" s="53">
        <v>0.2386363636363637</v>
      </c>
      <c r="H33" s="53">
        <v>0.1073863636363636</v>
      </c>
      <c r="I33" s="53">
        <v>4.6590909090909099E-2</v>
      </c>
      <c r="J33" s="53">
        <v>1.988636363636364E-2</v>
      </c>
    </row>
    <row r="34" spans="1:10" x14ac:dyDescent="0.3">
      <c r="A34" s="39" t="s">
        <v>153</v>
      </c>
      <c r="B34" s="41"/>
      <c r="C34" s="41"/>
      <c r="D34" s="41"/>
      <c r="E34" s="41"/>
      <c r="F34" s="40" t="s">
        <v>158</v>
      </c>
      <c r="G34" s="53">
        <v>0.38532110091743121</v>
      </c>
      <c r="H34" s="53">
        <v>0.17339449541284399</v>
      </c>
      <c r="I34" s="53">
        <v>7.5229357798165142E-2</v>
      </c>
      <c r="J34" s="53">
        <v>3.2110091743119268E-2</v>
      </c>
    </row>
    <row r="35" spans="1:10" x14ac:dyDescent="0.3">
      <c r="A35" s="39" t="s">
        <v>154</v>
      </c>
      <c r="B35" s="41"/>
      <c r="C35" s="41"/>
      <c r="D35" s="41"/>
      <c r="E35" s="41"/>
      <c r="F35" s="41"/>
      <c r="G35" s="40" t="s">
        <v>158</v>
      </c>
      <c r="H35" s="47">
        <v>0.45</v>
      </c>
      <c r="I35" s="53">
        <v>0.19523809523809521</v>
      </c>
      <c r="J35" s="53">
        <v>8.3333333333333329E-2</v>
      </c>
    </row>
    <row r="36" spans="1:10" x14ac:dyDescent="0.3">
      <c r="A36" s="39" t="s">
        <v>155</v>
      </c>
      <c r="B36" s="41"/>
      <c r="C36" s="41"/>
      <c r="D36" s="41"/>
      <c r="E36" s="41"/>
      <c r="F36" s="41"/>
      <c r="G36" s="41"/>
      <c r="H36" s="40" t="s">
        <v>158</v>
      </c>
      <c r="I36" s="47">
        <v>0.43386243386243389</v>
      </c>
      <c r="J36" s="53">
        <v>0.1851851851851852</v>
      </c>
    </row>
    <row r="37" spans="1:10" x14ac:dyDescent="0.3">
      <c r="A37" s="39" t="s">
        <v>156</v>
      </c>
      <c r="B37" s="41"/>
      <c r="C37" s="41"/>
      <c r="D37" s="41"/>
      <c r="E37" s="41"/>
      <c r="F37" s="41"/>
      <c r="G37" s="41"/>
      <c r="H37" s="41"/>
      <c r="I37" s="40" t="s">
        <v>158</v>
      </c>
      <c r="J37" s="47">
        <v>0.42682926829268292</v>
      </c>
    </row>
    <row r="38" spans="1:10" x14ac:dyDescent="0.3">
      <c r="A38" s="39" t="s">
        <v>157</v>
      </c>
      <c r="B38" s="41"/>
      <c r="C38" s="41"/>
      <c r="D38" s="41"/>
      <c r="E38" s="41"/>
      <c r="F38" s="41"/>
      <c r="G38" s="41"/>
      <c r="H38" s="41"/>
      <c r="I38" s="41"/>
      <c r="J38" s="40" t="s">
        <v>158</v>
      </c>
    </row>
    <row r="41" spans="1:10" x14ac:dyDescent="0.3">
      <c r="A41" s="74" t="s">
        <v>180</v>
      </c>
      <c r="B41" s="67"/>
      <c r="C41" s="67"/>
      <c r="D41" s="67"/>
      <c r="E41" s="67"/>
      <c r="F41" s="67"/>
      <c r="G41" s="67"/>
      <c r="H41" s="67"/>
      <c r="I41" s="67"/>
      <c r="J41" s="67"/>
    </row>
    <row r="42" spans="1:10" x14ac:dyDescent="0.3">
      <c r="A42" s="38" t="s">
        <v>148</v>
      </c>
      <c r="B42" s="38" t="s">
        <v>149</v>
      </c>
      <c r="C42" s="38" t="s">
        <v>150</v>
      </c>
      <c r="D42" s="38" t="s">
        <v>151</v>
      </c>
      <c r="E42" s="38" t="s">
        <v>152</v>
      </c>
      <c r="F42" s="38" t="s">
        <v>153</v>
      </c>
      <c r="G42" s="38" t="s">
        <v>154</v>
      </c>
      <c r="H42" s="38" t="s">
        <v>155</v>
      </c>
      <c r="I42" s="38" t="s">
        <v>156</v>
      </c>
      <c r="J42" s="38" t="s">
        <v>157</v>
      </c>
    </row>
    <row r="43" spans="1:10" x14ac:dyDescent="0.3">
      <c r="A43" s="39" t="s">
        <v>149</v>
      </c>
      <c r="B43" s="40" t="s">
        <v>158</v>
      </c>
      <c r="C43" s="50">
        <v>0.94545454545454544</v>
      </c>
      <c r="D43" s="50">
        <v>0.90909090909090917</v>
      </c>
      <c r="E43" s="50">
        <v>0.8727272727272728</v>
      </c>
      <c r="F43" s="47">
        <v>0.63636363636363646</v>
      </c>
      <c r="G43" s="47">
        <v>0.5636363636363636</v>
      </c>
      <c r="H43" s="53">
        <v>0.26727272727272727</v>
      </c>
      <c r="I43" s="53">
        <v>0.16363636363636361</v>
      </c>
      <c r="J43" s="53">
        <v>9.9999999999999992E-2</v>
      </c>
    </row>
    <row r="44" spans="1:10" x14ac:dyDescent="0.3">
      <c r="A44" s="39" t="s">
        <v>150</v>
      </c>
      <c r="B44" s="41"/>
      <c r="C44" s="40" t="s">
        <v>158</v>
      </c>
      <c r="D44" s="50">
        <v>0.96153846153846168</v>
      </c>
      <c r="E44" s="50">
        <v>0.92307692307692313</v>
      </c>
      <c r="F44" s="47">
        <v>0.67307692307692313</v>
      </c>
      <c r="G44" s="47">
        <v>0.59615384615384615</v>
      </c>
      <c r="H44" s="53">
        <v>0.28269230769230769</v>
      </c>
      <c r="I44" s="53">
        <v>0.1730769230769231</v>
      </c>
      <c r="J44" s="53">
        <v>0.1057692307692308</v>
      </c>
    </row>
    <row r="45" spans="1:10" x14ac:dyDescent="0.3">
      <c r="A45" s="39" t="s">
        <v>151</v>
      </c>
      <c r="B45" s="41"/>
      <c r="C45" s="41"/>
      <c r="D45" s="40" t="s">
        <v>158</v>
      </c>
      <c r="E45" s="50">
        <v>0.96</v>
      </c>
      <c r="F45" s="50">
        <v>0.70000000000000007</v>
      </c>
      <c r="G45" s="47">
        <v>0.62</v>
      </c>
      <c r="H45" s="53">
        <v>0.29399999999999998</v>
      </c>
      <c r="I45" s="53">
        <v>0.18</v>
      </c>
      <c r="J45" s="53">
        <v>0.11</v>
      </c>
    </row>
    <row r="46" spans="1:10" x14ac:dyDescent="0.3">
      <c r="A46" s="39" t="s">
        <v>152</v>
      </c>
      <c r="B46" s="41"/>
      <c r="C46" s="41"/>
      <c r="D46" s="41"/>
      <c r="E46" s="40" t="s">
        <v>158</v>
      </c>
      <c r="F46" s="50">
        <v>0.72916666666666674</v>
      </c>
      <c r="G46" s="47">
        <v>0.64583333333333337</v>
      </c>
      <c r="H46" s="53">
        <v>0.30625000000000002</v>
      </c>
      <c r="I46" s="53">
        <v>0.1875</v>
      </c>
      <c r="J46" s="53">
        <v>0.1145833333333333</v>
      </c>
    </row>
    <row r="47" spans="1:10" x14ac:dyDescent="0.3">
      <c r="A47" s="39" t="s">
        <v>153</v>
      </c>
      <c r="B47" s="41"/>
      <c r="C47" s="41"/>
      <c r="D47" s="41"/>
      <c r="E47" s="41"/>
      <c r="F47" s="40" t="s">
        <v>158</v>
      </c>
      <c r="G47" s="50">
        <v>0.88571428571428568</v>
      </c>
      <c r="H47" s="47">
        <v>0.41999999999999987</v>
      </c>
      <c r="I47" s="53">
        <v>0.25714285714285712</v>
      </c>
      <c r="J47" s="53">
        <v>0.15714285714285711</v>
      </c>
    </row>
    <row r="48" spans="1:10" x14ac:dyDescent="0.3">
      <c r="A48" s="39" t="s">
        <v>154</v>
      </c>
      <c r="B48" s="41"/>
      <c r="C48" s="41"/>
      <c r="D48" s="41"/>
      <c r="E48" s="41"/>
      <c r="F48" s="41"/>
      <c r="G48" s="40" t="s">
        <v>158</v>
      </c>
      <c r="H48" s="47">
        <v>0.47419354838709682</v>
      </c>
      <c r="I48" s="53">
        <v>0.29032258064516131</v>
      </c>
      <c r="J48" s="53">
        <v>0.17741935483870969</v>
      </c>
    </row>
    <row r="49" spans="1:10" x14ac:dyDescent="0.3">
      <c r="A49" s="39" t="s">
        <v>155</v>
      </c>
      <c r="B49" s="41"/>
      <c r="C49" s="41"/>
      <c r="D49" s="41"/>
      <c r="E49" s="41"/>
      <c r="F49" s="41"/>
      <c r="G49" s="41"/>
      <c r="H49" s="40" t="s">
        <v>158</v>
      </c>
      <c r="I49" s="47">
        <v>0.61224489795918369</v>
      </c>
      <c r="J49" s="53">
        <v>0.37414965986394549</v>
      </c>
    </row>
    <row r="50" spans="1:10" x14ac:dyDescent="0.3">
      <c r="A50" s="39" t="s">
        <v>156</v>
      </c>
      <c r="B50" s="41"/>
      <c r="C50" s="41"/>
      <c r="D50" s="41"/>
      <c r="E50" s="41"/>
      <c r="F50" s="41"/>
      <c r="G50" s="41"/>
      <c r="H50" s="41"/>
      <c r="I50" s="40" t="s">
        <v>158</v>
      </c>
      <c r="J50" s="47">
        <v>0.61111111111111116</v>
      </c>
    </row>
    <row r="51" spans="1:10" x14ac:dyDescent="0.3">
      <c r="A51" s="39" t="s">
        <v>157</v>
      </c>
      <c r="B51" s="41"/>
      <c r="C51" s="41"/>
      <c r="D51" s="41"/>
      <c r="E51" s="41"/>
      <c r="F51" s="41"/>
      <c r="G51" s="41"/>
      <c r="H51" s="41"/>
      <c r="I51" s="41"/>
      <c r="J51" s="40" t="s">
        <v>158</v>
      </c>
    </row>
    <row r="54" spans="1:10" x14ac:dyDescent="0.3">
      <c r="A54" s="74" t="s">
        <v>181</v>
      </c>
      <c r="B54" s="67"/>
      <c r="C54" s="67"/>
      <c r="D54" s="67"/>
      <c r="E54" s="67"/>
      <c r="F54" s="67"/>
      <c r="G54" s="67"/>
      <c r="H54" s="67"/>
      <c r="I54" s="67"/>
      <c r="J54" s="67"/>
    </row>
    <row r="55" spans="1:10" x14ac:dyDescent="0.3">
      <c r="A55" s="38" t="s">
        <v>148</v>
      </c>
      <c r="B55" s="38" t="s">
        <v>149</v>
      </c>
      <c r="C55" s="38" t="s">
        <v>150</v>
      </c>
      <c r="D55" s="38" t="s">
        <v>151</v>
      </c>
      <c r="E55" s="38" t="s">
        <v>152</v>
      </c>
      <c r="F55" s="38" t="s">
        <v>153</v>
      </c>
      <c r="G55" s="38" t="s">
        <v>154</v>
      </c>
      <c r="H55" s="38" t="s">
        <v>155</v>
      </c>
      <c r="I55" s="38" t="s">
        <v>156</v>
      </c>
      <c r="J55" s="38" t="s">
        <v>157</v>
      </c>
    </row>
    <row r="56" spans="1:10" x14ac:dyDescent="0.3">
      <c r="A56" s="39" t="s">
        <v>149</v>
      </c>
      <c r="B56" s="40" t="s">
        <v>158</v>
      </c>
      <c r="C56" s="50">
        <v>0.96774193548387089</v>
      </c>
      <c r="D56" s="50">
        <v>0.93548387096774199</v>
      </c>
      <c r="E56" s="50">
        <v>0.82258064516129026</v>
      </c>
      <c r="F56" s="47">
        <v>0.53225806451612911</v>
      </c>
      <c r="G56" s="53">
        <v>0.25806451612903231</v>
      </c>
      <c r="H56" s="53">
        <v>0.13387096774193549</v>
      </c>
      <c r="I56" s="53">
        <v>6.6129032258064518E-2</v>
      </c>
      <c r="J56" s="53">
        <v>3.2258064516129031E-2</v>
      </c>
    </row>
    <row r="57" spans="1:10" x14ac:dyDescent="0.3">
      <c r="A57" s="39" t="s">
        <v>150</v>
      </c>
      <c r="B57" s="41"/>
      <c r="C57" s="40" t="s">
        <v>158</v>
      </c>
      <c r="D57" s="50">
        <v>0.96666666666666679</v>
      </c>
      <c r="E57" s="50">
        <v>0.85</v>
      </c>
      <c r="F57" s="47">
        <v>0.55000000000000004</v>
      </c>
      <c r="G57" s="53">
        <v>0.26666666666666672</v>
      </c>
      <c r="H57" s="53">
        <v>0.13833333333333331</v>
      </c>
      <c r="I57" s="53">
        <v>6.8333333333333343E-2</v>
      </c>
      <c r="J57" s="53">
        <v>3.3333333333333333E-2</v>
      </c>
    </row>
    <row r="58" spans="1:10" x14ac:dyDescent="0.3">
      <c r="A58" s="39" t="s">
        <v>151</v>
      </c>
      <c r="B58" s="41"/>
      <c r="C58" s="41"/>
      <c r="D58" s="40" t="s">
        <v>158</v>
      </c>
      <c r="E58" s="50">
        <v>0.87931034482758608</v>
      </c>
      <c r="F58" s="47">
        <v>0.56896551724137934</v>
      </c>
      <c r="G58" s="53">
        <v>0.27586206896551718</v>
      </c>
      <c r="H58" s="53">
        <v>0.14310344827586199</v>
      </c>
      <c r="I58" s="53">
        <v>7.0689655172413796E-2</v>
      </c>
      <c r="J58" s="53">
        <v>3.4482758620689648E-2</v>
      </c>
    </row>
    <row r="59" spans="1:10" x14ac:dyDescent="0.3">
      <c r="A59" s="39" t="s">
        <v>152</v>
      </c>
      <c r="B59" s="41"/>
      <c r="C59" s="41"/>
      <c r="D59" s="41"/>
      <c r="E59" s="40" t="s">
        <v>158</v>
      </c>
      <c r="F59" s="47">
        <v>0.6470588235294118</v>
      </c>
      <c r="G59" s="53">
        <v>0.31372549019607848</v>
      </c>
      <c r="H59" s="53">
        <v>0.16274509803921569</v>
      </c>
      <c r="I59" s="53">
        <v>8.0392156862745104E-2</v>
      </c>
      <c r="J59" s="53">
        <v>3.921568627450981E-2</v>
      </c>
    </row>
    <row r="60" spans="1:10" x14ac:dyDescent="0.3">
      <c r="A60" s="39" t="s">
        <v>153</v>
      </c>
      <c r="B60" s="41"/>
      <c r="C60" s="41"/>
      <c r="D60" s="41"/>
      <c r="E60" s="41"/>
      <c r="F60" s="40" t="s">
        <v>158</v>
      </c>
      <c r="G60" s="47">
        <v>0.48484848484848492</v>
      </c>
      <c r="H60" s="53">
        <v>0.25151515151515152</v>
      </c>
      <c r="I60" s="53">
        <v>0.12424242424242431</v>
      </c>
      <c r="J60" s="53">
        <v>6.0606060606060608E-2</v>
      </c>
    </row>
    <row r="61" spans="1:10" x14ac:dyDescent="0.3">
      <c r="A61" s="39" t="s">
        <v>154</v>
      </c>
      <c r="B61" s="41"/>
      <c r="C61" s="41"/>
      <c r="D61" s="41"/>
      <c r="E61" s="41"/>
      <c r="F61" s="41"/>
      <c r="G61" s="40" t="s">
        <v>158</v>
      </c>
      <c r="H61" s="47">
        <v>0.51875000000000004</v>
      </c>
      <c r="I61" s="53">
        <v>0.25624999999999998</v>
      </c>
      <c r="J61" s="53">
        <v>0.125</v>
      </c>
    </row>
    <row r="62" spans="1:10" x14ac:dyDescent="0.3">
      <c r="A62" s="39" t="s">
        <v>155</v>
      </c>
      <c r="B62" s="41"/>
      <c r="C62" s="41"/>
      <c r="D62" s="41"/>
      <c r="E62" s="41"/>
      <c r="F62" s="41"/>
      <c r="G62" s="41"/>
      <c r="H62" s="40" t="s">
        <v>158</v>
      </c>
      <c r="I62" s="47">
        <v>0.49397590361445792</v>
      </c>
      <c r="J62" s="53">
        <v>0.24096385542168669</v>
      </c>
    </row>
    <row r="63" spans="1:10" x14ac:dyDescent="0.3">
      <c r="A63" s="39" t="s">
        <v>156</v>
      </c>
      <c r="B63" s="41"/>
      <c r="C63" s="41"/>
      <c r="D63" s="41"/>
      <c r="E63" s="41"/>
      <c r="F63" s="41"/>
      <c r="G63" s="41"/>
      <c r="H63" s="41"/>
      <c r="I63" s="40" t="s">
        <v>158</v>
      </c>
      <c r="J63" s="47">
        <v>0.48780487804878048</v>
      </c>
    </row>
    <row r="64" spans="1:10" x14ac:dyDescent="0.3">
      <c r="A64" s="39" t="s">
        <v>157</v>
      </c>
      <c r="B64" s="41"/>
      <c r="C64" s="41"/>
      <c r="D64" s="41"/>
      <c r="E64" s="41"/>
      <c r="F64" s="41"/>
      <c r="G64" s="41"/>
      <c r="H64" s="41"/>
      <c r="I64" s="41"/>
      <c r="J64" s="40" t="s">
        <v>158</v>
      </c>
    </row>
    <row r="67" spans="1:10" x14ac:dyDescent="0.3">
      <c r="A67" s="75" t="s">
        <v>182</v>
      </c>
      <c r="B67" s="67"/>
      <c r="C67" s="67"/>
      <c r="D67" s="67"/>
      <c r="E67" s="67"/>
      <c r="F67" s="67"/>
      <c r="G67" s="67"/>
      <c r="H67" s="67"/>
      <c r="I67" s="67"/>
      <c r="J67" s="67"/>
    </row>
    <row r="68" spans="1:10" x14ac:dyDescent="0.3">
      <c r="A68" s="38" t="s">
        <v>148</v>
      </c>
      <c r="B68" s="38" t="s">
        <v>149</v>
      </c>
      <c r="C68" s="38" t="s">
        <v>150</v>
      </c>
      <c r="D68" s="38" t="s">
        <v>151</v>
      </c>
      <c r="E68" s="38" t="s">
        <v>152</v>
      </c>
      <c r="F68" s="38" t="s">
        <v>153</v>
      </c>
      <c r="G68" s="38" t="s">
        <v>154</v>
      </c>
      <c r="H68" s="38" t="s">
        <v>155</v>
      </c>
      <c r="I68" s="38" t="s">
        <v>156</v>
      </c>
      <c r="J68" s="38" t="s">
        <v>157</v>
      </c>
    </row>
    <row r="69" spans="1:10" x14ac:dyDescent="0.3">
      <c r="A69" s="39" t="s">
        <v>149</v>
      </c>
      <c r="B69" s="40" t="s">
        <v>158</v>
      </c>
      <c r="C69" s="50">
        <v>1.0161550888529891</v>
      </c>
      <c r="D69" s="50">
        <v>1.0500807754442649</v>
      </c>
      <c r="E69" s="50">
        <v>1.0597738287560581</v>
      </c>
      <c r="F69" s="47">
        <v>1.2487883683360259</v>
      </c>
      <c r="G69" s="53">
        <v>1.4216478190630051</v>
      </c>
      <c r="H69" s="53">
        <v>1.5169628432956379</v>
      </c>
      <c r="I69" s="53">
        <v>1.562520193861066</v>
      </c>
      <c r="J69" s="53">
        <v>1.5869143780290791</v>
      </c>
    </row>
    <row r="70" spans="1:10" x14ac:dyDescent="0.3">
      <c r="A70" s="39" t="s">
        <v>150</v>
      </c>
      <c r="B70" s="41"/>
      <c r="C70" s="40" t="s">
        <v>158</v>
      </c>
      <c r="D70" s="50">
        <v>1.033386327503975</v>
      </c>
      <c r="E70" s="50">
        <v>1.0429252782193961</v>
      </c>
      <c r="F70" s="47">
        <v>1.2289348171701111</v>
      </c>
      <c r="G70" s="53">
        <v>1.3990461049284579</v>
      </c>
      <c r="H70" s="53">
        <v>1.492845786963434</v>
      </c>
      <c r="I70" s="53">
        <v>1.537678855325914</v>
      </c>
      <c r="J70" s="53">
        <v>1.5616852146263911</v>
      </c>
    </row>
    <row r="71" spans="1:10" x14ac:dyDescent="0.3">
      <c r="A71" s="39" t="s">
        <v>151</v>
      </c>
      <c r="B71" s="41"/>
      <c r="C71" s="41"/>
      <c r="D71" s="40" t="s">
        <v>158</v>
      </c>
      <c r="E71" s="50">
        <v>1.0092307692307689</v>
      </c>
      <c r="F71" s="47">
        <v>1.1892307692307691</v>
      </c>
      <c r="G71" s="53">
        <v>1.3538461538461539</v>
      </c>
      <c r="H71" s="53">
        <v>1.444615384615384</v>
      </c>
      <c r="I71" s="53">
        <v>1.488</v>
      </c>
      <c r="J71" s="53">
        <v>1.5112307692307689</v>
      </c>
    </row>
    <row r="72" spans="1:10" x14ac:dyDescent="0.3">
      <c r="A72" s="39" t="s">
        <v>152</v>
      </c>
      <c r="B72" s="41"/>
      <c r="C72" s="41"/>
      <c r="D72" s="41"/>
      <c r="E72" s="40" t="s">
        <v>158</v>
      </c>
      <c r="F72" s="47">
        <v>1.178353658536585</v>
      </c>
      <c r="G72" s="53">
        <v>1.341463414634146</v>
      </c>
      <c r="H72" s="53">
        <v>1.43140243902439</v>
      </c>
      <c r="I72" s="53">
        <v>1.474390243902439</v>
      </c>
      <c r="J72" s="53">
        <v>1.497408536585366</v>
      </c>
    </row>
    <row r="73" spans="1:10" x14ac:dyDescent="0.3">
      <c r="A73" s="39" t="s">
        <v>153</v>
      </c>
      <c r="B73" s="41"/>
      <c r="C73" s="41"/>
      <c r="D73" s="41"/>
      <c r="E73" s="41"/>
      <c r="F73" s="40" t="s">
        <v>158</v>
      </c>
      <c r="G73" s="47">
        <v>1.138421733505822</v>
      </c>
      <c r="H73" s="47">
        <v>1.214747736093144</v>
      </c>
      <c r="I73" s="47">
        <v>1.2512289780077619</v>
      </c>
      <c r="J73" s="47">
        <v>1.2707632600258729</v>
      </c>
    </row>
    <row r="74" spans="1:10" x14ac:dyDescent="0.3">
      <c r="A74" s="39" t="s">
        <v>154</v>
      </c>
      <c r="B74" s="41"/>
      <c r="C74" s="41"/>
      <c r="D74" s="41"/>
      <c r="E74" s="41"/>
      <c r="F74" s="41"/>
      <c r="G74" s="40" t="s">
        <v>158</v>
      </c>
      <c r="H74" s="50">
        <v>1.067045454545454</v>
      </c>
      <c r="I74" s="50">
        <v>1.0990909090909089</v>
      </c>
      <c r="J74" s="47">
        <v>1.11625</v>
      </c>
    </row>
    <row r="75" spans="1:10" x14ac:dyDescent="0.3">
      <c r="A75" s="39" t="s">
        <v>155</v>
      </c>
      <c r="B75" s="41"/>
      <c r="C75" s="41"/>
      <c r="D75" s="41"/>
      <c r="E75" s="41"/>
      <c r="F75" s="41"/>
      <c r="G75" s="41"/>
      <c r="H75" s="40" t="s">
        <v>158</v>
      </c>
      <c r="I75" s="50">
        <v>1.0300319488817891</v>
      </c>
      <c r="J75" s="50">
        <v>1.0461128860489881</v>
      </c>
    </row>
    <row r="76" spans="1:10" x14ac:dyDescent="0.3">
      <c r="A76" s="39" t="s">
        <v>156</v>
      </c>
      <c r="B76" s="41"/>
      <c r="C76" s="41"/>
      <c r="D76" s="41"/>
      <c r="E76" s="41"/>
      <c r="F76" s="41"/>
      <c r="G76" s="41"/>
      <c r="H76" s="41"/>
      <c r="I76" s="40" t="s">
        <v>158</v>
      </c>
      <c r="J76" s="50">
        <v>1.0156120760959471</v>
      </c>
    </row>
    <row r="77" spans="1:10" x14ac:dyDescent="0.3">
      <c r="A77" s="39" t="s">
        <v>157</v>
      </c>
      <c r="B77" s="41"/>
      <c r="C77" s="41"/>
      <c r="D77" s="41"/>
      <c r="E77" s="41"/>
      <c r="F77" s="41"/>
      <c r="G77" s="41"/>
      <c r="H77" s="41"/>
      <c r="I77" s="41"/>
      <c r="J77" s="40" t="s">
        <v>158</v>
      </c>
    </row>
  </sheetData>
  <mergeCells count="7">
    <mergeCell ref="A54:J54"/>
    <mergeCell ref="A67:J67"/>
    <mergeCell ref="A1:G1"/>
    <mergeCell ref="A2:G2"/>
    <mergeCell ref="A15:J15"/>
    <mergeCell ref="A28:J28"/>
    <mergeCell ref="A41:J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3754-6655-478E-A611-C26B93E89E6F}">
  <dimension ref="A1:L29"/>
  <sheetViews>
    <sheetView workbookViewId="0">
      <selection sqref="A1:G2"/>
    </sheetView>
  </sheetViews>
  <sheetFormatPr defaultRowHeight="14.4" x14ac:dyDescent="0.3"/>
  <cols>
    <col min="3" max="3" width="14.88671875" customWidth="1"/>
    <col min="4" max="4" width="11.109375" customWidth="1"/>
    <col min="5" max="5" width="14.88671875" customWidth="1"/>
    <col min="6" max="6" width="14.6640625" customWidth="1"/>
    <col min="7" max="7" width="16.5546875" customWidth="1"/>
    <col min="8" max="8" width="17.6640625" customWidth="1"/>
    <col min="9" max="9" width="12.5546875" customWidth="1"/>
    <col min="10" max="10" width="14.6640625" customWidth="1"/>
    <col min="11" max="11" width="16.109375" customWidth="1"/>
  </cols>
  <sheetData>
    <row r="1" spans="1:12" x14ac:dyDescent="0.3">
      <c r="A1" s="63" t="s">
        <v>95</v>
      </c>
      <c r="B1" s="63"/>
      <c r="C1" s="63"/>
      <c r="D1" s="63"/>
      <c r="E1" s="63"/>
      <c r="F1" s="63"/>
      <c r="G1" s="63"/>
    </row>
    <row r="2" spans="1:12" x14ac:dyDescent="0.3">
      <c r="A2" s="63"/>
      <c r="B2" s="63"/>
      <c r="C2" s="63"/>
      <c r="D2" s="63"/>
      <c r="E2" s="63"/>
      <c r="F2" s="63"/>
      <c r="G2" s="63"/>
    </row>
    <row r="4" spans="1:12" x14ac:dyDescent="0.3">
      <c r="A4" s="78" t="s">
        <v>96</v>
      </c>
      <c r="B4" s="79"/>
      <c r="C4" s="80"/>
      <c r="E4" s="65" t="s">
        <v>105</v>
      </c>
      <c r="F4" s="65"/>
      <c r="G4" s="65"/>
    </row>
    <row r="5" spans="1:12" x14ac:dyDescent="0.3">
      <c r="A5" s="76" t="s">
        <v>97</v>
      </c>
      <c r="B5" s="65"/>
      <c r="C5" s="77"/>
      <c r="E5" s="65" t="s">
        <v>106</v>
      </c>
      <c r="F5" s="65"/>
      <c r="G5" s="65"/>
      <c r="H5" s="65"/>
    </row>
    <row r="6" spans="1:12" x14ac:dyDescent="0.3">
      <c r="A6" s="76" t="s">
        <v>98</v>
      </c>
      <c r="B6" s="65"/>
      <c r="C6" s="77"/>
      <c r="E6" s="65" t="s">
        <v>107</v>
      </c>
      <c r="F6" s="65"/>
      <c r="G6" s="65"/>
      <c r="H6" s="65"/>
    </row>
    <row r="7" spans="1:12" x14ac:dyDescent="0.3">
      <c r="A7" s="76" t="s">
        <v>99</v>
      </c>
      <c r="B7" s="65"/>
      <c r="C7" s="77"/>
      <c r="E7" s="65" t="s">
        <v>108</v>
      </c>
      <c r="F7" s="65"/>
      <c r="G7" s="65"/>
      <c r="H7" s="65"/>
    </row>
    <row r="8" spans="1:12" x14ac:dyDescent="0.3">
      <c r="A8" s="76" t="s">
        <v>100</v>
      </c>
      <c r="B8" s="65"/>
      <c r="C8" s="77"/>
      <c r="E8" s="65"/>
      <c r="F8" s="65"/>
      <c r="G8" s="65"/>
      <c r="H8" s="65"/>
    </row>
    <row r="9" spans="1:12" x14ac:dyDescent="0.3">
      <c r="A9" s="76" t="s">
        <v>101</v>
      </c>
      <c r="B9" s="65"/>
      <c r="C9" s="77"/>
      <c r="E9" s="65"/>
      <c r="F9" s="65"/>
      <c r="G9" s="65"/>
      <c r="H9" s="65"/>
    </row>
    <row r="10" spans="1:12" x14ac:dyDescent="0.3">
      <c r="A10" s="76" t="s">
        <v>102</v>
      </c>
      <c r="B10" s="65"/>
      <c r="C10" s="77"/>
      <c r="E10" s="65"/>
      <c r="F10" s="65"/>
      <c r="G10" s="65"/>
      <c r="H10" s="65"/>
    </row>
    <row r="11" spans="1:12" x14ac:dyDescent="0.3">
      <c r="A11" s="76" t="s">
        <v>103</v>
      </c>
      <c r="B11" s="65"/>
      <c r="C11" s="77"/>
      <c r="E11" s="65"/>
      <c r="F11" s="65"/>
      <c r="G11" s="65"/>
      <c r="H11" s="65"/>
    </row>
    <row r="12" spans="1:12" x14ac:dyDescent="0.3">
      <c r="A12" s="81" t="s">
        <v>104</v>
      </c>
      <c r="B12" s="82"/>
      <c r="C12" s="83"/>
      <c r="E12" s="65"/>
      <c r="F12" s="65"/>
      <c r="G12" s="65"/>
      <c r="H12" s="65"/>
    </row>
    <row r="14" spans="1:12" x14ac:dyDescent="0.3">
      <c r="A14" s="65" t="s">
        <v>109</v>
      </c>
      <c r="B14" s="65"/>
      <c r="C14" s="65"/>
      <c r="D14" s="65"/>
      <c r="E14" s="65"/>
      <c r="F14" s="65"/>
      <c r="H14" s="65" t="s">
        <v>111</v>
      </c>
      <c r="I14" s="65"/>
      <c r="J14" s="65"/>
      <c r="K14" s="65"/>
      <c r="L14" s="65"/>
    </row>
    <row r="15" spans="1:12" x14ac:dyDescent="0.3">
      <c r="A15" s="65" t="s">
        <v>110</v>
      </c>
      <c r="B15" s="65"/>
      <c r="C15" s="65"/>
      <c r="D15" s="65"/>
      <c r="E15" s="65"/>
      <c r="F15" s="65"/>
      <c r="H15" s="65" t="s">
        <v>124</v>
      </c>
      <c r="I15" s="65"/>
      <c r="J15" s="65"/>
      <c r="K15" s="65"/>
    </row>
    <row r="16" spans="1:12" ht="15" thickBot="1" x14ac:dyDescent="0.35">
      <c r="A16" s="8" t="s">
        <v>114</v>
      </c>
      <c r="B16" s="8" t="s">
        <v>115</v>
      </c>
      <c r="C16" s="8" t="s">
        <v>116</v>
      </c>
      <c r="D16" s="8" t="s">
        <v>117</v>
      </c>
      <c r="E16" s="8" t="s">
        <v>118</v>
      </c>
      <c r="F16" s="8" t="s">
        <v>119</v>
      </c>
      <c r="H16" s="68" t="s">
        <v>122</v>
      </c>
      <c r="I16" s="68"/>
      <c r="J16" s="68"/>
      <c r="K16" s="68"/>
      <c r="L16" s="68"/>
    </row>
    <row r="17" spans="1:12" ht="15" thickBot="1" x14ac:dyDescent="0.35">
      <c r="A17" s="9">
        <v>2019</v>
      </c>
      <c r="B17" s="9">
        <v>-3</v>
      </c>
      <c r="C17" s="10">
        <v>236963</v>
      </c>
      <c r="D17" s="12">
        <v>51584.86</v>
      </c>
      <c r="E17" s="11">
        <v>-154754.57</v>
      </c>
      <c r="F17" s="9">
        <v>9</v>
      </c>
      <c r="H17" s="68"/>
      <c r="I17" s="68"/>
      <c r="J17" s="68"/>
      <c r="K17" s="68"/>
      <c r="L17" s="68"/>
    </row>
    <row r="18" spans="1:12" ht="15" thickBot="1" x14ac:dyDescent="0.35">
      <c r="A18" s="9">
        <v>2020</v>
      </c>
      <c r="B18" s="9">
        <v>-2</v>
      </c>
      <c r="C18" s="10">
        <v>263174</v>
      </c>
      <c r="D18" s="12">
        <v>77795.86</v>
      </c>
      <c r="E18" s="11">
        <v>-155591.71</v>
      </c>
      <c r="F18" s="9">
        <v>4</v>
      </c>
    </row>
    <row r="19" spans="1:12" ht="15" thickBot="1" x14ac:dyDescent="0.35">
      <c r="A19" s="9">
        <v>2021</v>
      </c>
      <c r="B19" s="9">
        <v>-1</v>
      </c>
      <c r="C19" s="10">
        <v>240734</v>
      </c>
      <c r="D19" s="12">
        <v>55355.86</v>
      </c>
      <c r="E19" s="11">
        <v>-55355.86</v>
      </c>
      <c r="F19" s="9">
        <v>1</v>
      </c>
      <c r="H19" s="65" t="s">
        <v>112</v>
      </c>
      <c r="I19" s="65"/>
      <c r="J19" s="65"/>
      <c r="K19" s="65"/>
      <c r="L19" s="65"/>
    </row>
    <row r="20" spans="1:12" ht="15" thickBot="1" x14ac:dyDescent="0.35">
      <c r="A20" s="9">
        <v>2022</v>
      </c>
      <c r="B20" s="9">
        <v>0</v>
      </c>
      <c r="C20" s="10">
        <v>210980</v>
      </c>
      <c r="D20" s="12">
        <v>25601.86</v>
      </c>
      <c r="E20" s="9">
        <v>0</v>
      </c>
      <c r="F20" s="9">
        <v>0</v>
      </c>
      <c r="H20" s="65" t="s">
        <v>123</v>
      </c>
      <c r="I20" s="65"/>
      <c r="J20" s="65"/>
      <c r="K20" s="65"/>
      <c r="L20" s="65"/>
    </row>
    <row r="21" spans="1:12" ht="15" thickBot="1" x14ac:dyDescent="0.35">
      <c r="A21" s="9">
        <v>2023</v>
      </c>
      <c r="B21" s="12">
        <v>1</v>
      </c>
      <c r="C21" s="10">
        <v>147777</v>
      </c>
      <c r="D21" s="12">
        <v>-37601.14</v>
      </c>
      <c r="E21" s="11">
        <v>-37601.14</v>
      </c>
      <c r="F21" s="9">
        <v>1</v>
      </c>
      <c r="H21" s="65" t="s">
        <v>125</v>
      </c>
      <c r="I21" s="65"/>
      <c r="J21" s="65"/>
      <c r="K21" s="65"/>
    </row>
    <row r="22" spans="1:12" ht="15" thickBot="1" x14ac:dyDescent="0.35">
      <c r="A22" s="9">
        <v>2024</v>
      </c>
      <c r="B22" s="12">
        <v>2</v>
      </c>
      <c r="C22" s="10">
        <v>108487</v>
      </c>
      <c r="D22" s="12">
        <v>-76891.14</v>
      </c>
      <c r="E22" s="11">
        <v>-153782.29</v>
      </c>
      <c r="F22" s="9">
        <v>4</v>
      </c>
      <c r="H22" s="65"/>
      <c r="I22" s="65"/>
      <c r="J22" s="65"/>
      <c r="K22" s="65"/>
    </row>
    <row r="23" spans="1:12" ht="15" thickBot="1" x14ac:dyDescent="0.35">
      <c r="A23" s="9">
        <v>2025</v>
      </c>
      <c r="B23" s="12">
        <v>3</v>
      </c>
      <c r="C23" s="10">
        <v>89532</v>
      </c>
      <c r="D23" s="12">
        <v>-95846.14</v>
      </c>
      <c r="E23" s="11">
        <v>-287538.43</v>
      </c>
      <c r="F23" s="9">
        <v>9</v>
      </c>
    </row>
    <row r="24" spans="1:12" ht="15" thickBot="1" x14ac:dyDescent="0.35">
      <c r="A24" s="12" t="s">
        <v>113</v>
      </c>
      <c r="B24" s="12"/>
      <c r="C24" s="12"/>
      <c r="D24" s="12"/>
      <c r="E24" s="11">
        <v>-844624</v>
      </c>
      <c r="F24" s="9">
        <v>28</v>
      </c>
    </row>
    <row r="25" spans="1:12" ht="15" thickBot="1" x14ac:dyDescent="0.35">
      <c r="A25" s="12"/>
      <c r="B25" s="12"/>
      <c r="C25" s="12"/>
      <c r="D25" s="12"/>
      <c r="E25" s="12"/>
      <c r="F25" s="12"/>
    </row>
    <row r="26" spans="1:12" ht="15" thickBot="1" x14ac:dyDescent="0.35">
      <c r="A26" s="12"/>
      <c r="B26" s="12"/>
      <c r="C26" s="12"/>
      <c r="D26" s="12"/>
      <c r="E26" s="12"/>
      <c r="F26" s="12"/>
    </row>
    <row r="28" spans="1:12" x14ac:dyDescent="0.3">
      <c r="B28" s="65" t="s">
        <v>120</v>
      </c>
      <c r="C28" s="65"/>
      <c r="D28" s="65"/>
      <c r="E28" s="65"/>
    </row>
    <row r="29" spans="1:12" x14ac:dyDescent="0.3">
      <c r="B29" s="65" t="s">
        <v>121</v>
      </c>
      <c r="C29" s="65"/>
      <c r="D29" s="65"/>
      <c r="E29" s="65"/>
    </row>
  </sheetData>
  <mergeCells count="30">
    <mergeCell ref="A1:G2"/>
    <mergeCell ref="A4:C4"/>
    <mergeCell ref="A5:C5"/>
    <mergeCell ref="A11:C11"/>
    <mergeCell ref="A12:C12"/>
    <mergeCell ref="E4:G4"/>
    <mergeCell ref="E5:H5"/>
    <mergeCell ref="E6:H6"/>
    <mergeCell ref="E7:H7"/>
    <mergeCell ref="E8:H8"/>
    <mergeCell ref="E9:H9"/>
    <mergeCell ref="E10:H10"/>
    <mergeCell ref="E11:H11"/>
    <mergeCell ref="A6:C6"/>
    <mergeCell ref="A7:C7"/>
    <mergeCell ref="A8:C8"/>
    <mergeCell ref="E12:H12"/>
    <mergeCell ref="A14:F14"/>
    <mergeCell ref="A15:F15"/>
    <mergeCell ref="H20:L20"/>
    <mergeCell ref="A9:C9"/>
    <mergeCell ref="A10:C10"/>
    <mergeCell ref="H14:L14"/>
    <mergeCell ref="H15:K15"/>
    <mergeCell ref="H16:L17"/>
    <mergeCell ref="H21:K21"/>
    <mergeCell ref="H22:K22"/>
    <mergeCell ref="B28:E28"/>
    <mergeCell ref="B29:E29"/>
    <mergeCell ref="H19:L19"/>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Ana Sayfa</vt:lpstr>
      <vt:lpstr>Veri_Seti</vt:lpstr>
      <vt:lpstr>Ulusal_Tiraj_Trend</vt:lpstr>
      <vt:lpstr>Ulusal_Sektör_Trend</vt:lpstr>
      <vt:lpstr>Formül_Anlatım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Furkan PALTACI</dc:creator>
  <cp:lastModifiedBy>Kamilcan Başarslan</cp:lastModifiedBy>
  <cp:lastPrinted>2026-03-03T07:42:01Z</cp:lastPrinted>
  <dcterms:created xsi:type="dcterms:W3CDTF">2015-06-05T18:19:34Z</dcterms:created>
  <dcterms:modified xsi:type="dcterms:W3CDTF">2026-04-01T08:35:18Z</dcterms:modified>
</cp:coreProperties>
</file>